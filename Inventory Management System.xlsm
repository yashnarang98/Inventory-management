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n\Desktop\"/>
    </mc:Choice>
  </mc:AlternateContent>
  <xr:revisionPtr revIDLastSave="0" documentId="13_ncr:1_{EF72549B-0E88-48B4-B010-224F0310A7A2}" xr6:coauthVersionLast="45" xr6:coauthVersionMax="45" xr10:uidLastSave="{00000000-0000-0000-0000-000000000000}"/>
  <bookViews>
    <workbookView xWindow="-108" yWindow="-108" windowWidth="23256" windowHeight="12576" tabRatio="748" xr2:uid="{00000000-000D-0000-FFFF-FFFF00000000}"/>
  </bookViews>
  <sheets>
    <sheet name="Settings" sheetId="11" r:id="rId1"/>
    <sheet name="Product_Master" sheetId="1" r:id="rId2"/>
    <sheet name="Sale_Purchase" sheetId="2" state="hidden" r:id="rId3"/>
    <sheet name="Sale_Purchase_Display" sheetId="9" state="hidden" r:id="rId4"/>
    <sheet name="Inventory" sheetId="3" state="hidden" r:id="rId5"/>
    <sheet name="Inventory_Display" sheetId="10" state="hidden" r:id="rId6"/>
    <sheet name="Report" sheetId="5" state="hidden" r:id="rId7"/>
  </sheets>
  <definedNames>
    <definedName name="_xlnm._FilterDatabase" localSheetId="4" hidden="1">Inventory!$A$1:$E$18</definedName>
    <definedName name="_xlnm._FilterDatabase" localSheetId="1" hidden="1">Product_Master!$A$1:$D$1</definedName>
    <definedName name="_xlnm._FilterDatabase" localSheetId="2" hidden="1">Sale_Purchase!$A$1:$H$52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6" i="1" l="1"/>
  <c r="A45" i="1"/>
  <c r="A44" i="1"/>
  <c r="A43" i="1"/>
  <c r="A52" i="2"/>
  <c r="A51" i="2"/>
  <c r="A50" i="2"/>
  <c r="A49" i="2"/>
  <c r="A48" i="2"/>
  <c r="A47" i="2"/>
  <c r="A12" i="1"/>
  <c r="A46" i="2"/>
  <c r="A45" i="2"/>
  <c r="A51" i="1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17" i="1"/>
  <c r="A18" i="1"/>
  <c r="A19" i="1"/>
  <c r="A21" i="1"/>
  <c r="A20" i="1"/>
  <c r="A11" i="1"/>
  <c r="A30" i="2"/>
  <c r="A29" i="2"/>
  <c r="A23" i="1"/>
  <c r="A47" i="1"/>
  <c r="A28" i="2"/>
  <c r="A27" i="2"/>
  <c r="A26" i="2"/>
  <c r="A25" i="2"/>
  <c r="A24" i="2"/>
  <c r="A23" i="2"/>
  <c r="A22" i="2"/>
  <c r="A21" i="2"/>
  <c r="A20" i="2"/>
  <c r="A19" i="2"/>
  <c r="A41" i="1"/>
  <c r="A40" i="1"/>
  <c r="A39" i="1"/>
  <c r="A38" i="1"/>
  <c r="A13" i="1"/>
  <c r="A14" i="1"/>
  <c r="A15" i="1"/>
  <c r="A18" i="2"/>
  <c r="A17" i="2"/>
  <c r="A16" i="2"/>
  <c r="A15" i="2"/>
  <c r="A14" i="2"/>
  <c r="A13" i="2"/>
  <c r="A12" i="2"/>
  <c r="A11" i="2"/>
  <c r="A10" i="2"/>
  <c r="A24" i="1"/>
  <c r="A35" i="1"/>
  <c r="A37" i="1"/>
  <c r="A25" i="1"/>
  <c r="A50" i="1"/>
  <c r="A9" i="2"/>
  <c r="A8" i="2"/>
  <c r="A7" i="2"/>
  <c r="A6" i="2"/>
  <c r="A5" i="2"/>
  <c r="A10" i="1"/>
  <c r="A9" i="1"/>
  <c r="A8" i="1"/>
  <c r="A49" i="1"/>
  <c r="A22" i="1"/>
  <c r="A4" i="2"/>
  <c r="A3" i="2"/>
  <c r="A29" i="1"/>
  <c r="A30" i="1"/>
  <c r="A28" i="1"/>
  <c r="A32" i="1"/>
  <c r="A2" i="2"/>
  <c r="A33" i="1"/>
  <c r="A27" i="1"/>
  <c r="A26" i="1"/>
  <c r="A34" i="1"/>
  <c r="A31" i="1"/>
  <c r="A36" i="1"/>
  <c r="A48" i="1"/>
  <c r="A6" i="1"/>
  <c r="A5" i="1"/>
  <c r="A7" i="1"/>
  <c r="A4" i="1"/>
  <c r="A3" i="1"/>
  <c r="A16" i="1"/>
  <c r="A2" i="1"/>
  <c r="A42" i="1"/>
  <c r="C6" i="5" l="1"/>
  <c r="C5" i="5"/>
  <c r="C9" i="5" l="1"/>
  <c r="C8" i="5"/>
  <c r="C7" i="5"/>
</calcChain>
</file>

<file path=xl/sharedStrings.xml><?xml version="1.0" encoding="utf-8"?>
<sst xmlns="http://schemas.openxmlformats.org/spreadsheetml/2006/main" count="342" uniqueCount="70">
  <si>
    <t>Product Name</t>
  </si>
  <si>
    <t>Type</t>
  </si>
  <si>
    <t>Quantity</t>
  </si>
  <si>
    <t>Date</t>
  </si>
  <si>
    <t>S.No</t>
  </si>
  <si>
    <t>Sale</t>
  </si>
  <si>
    <t>Purchase</t>
  </si>
  <si>
    <t>Purchase Price</t>
  </si>
  <si>
    <t>Amount</t>
  </si>
  <si>
    <t>Sale Price</t>
  </si>
  <si>
    <t>Price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</si>
  <si>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</si>
  <si>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</si>
  <si>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</si>
  <si>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</si>
  <si>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</si>
  <si>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</si>
  <si>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</si>
  <si>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</si>
  <si>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Load Cell 40 KG</t>
  </si>
  <si>
    <t>Load Cell 20 KG</t>
  </si>
  <si>
    <t>Load Cell 10 KG</t>
  </si>
  <si>
    <t>Load Cell 6 KG</t>
  </si>
  <si>
    <t>Load Cell 3 KG</t>
  </si>
  <si>
    <t>S2 Card</t>
  </si>
  <si>
    <t>1230 Card</t>
  </si>
  <si>
    <t>Double Card</t>
  </si>
  <si>
    <t>9600 Card</t>
  </si>
  <si>
    <t>Battery Amptek</t>
  </si>
  <si>
    <t>Battery U Plus</t>
  </si>
  <si>
    <t>Battery I Power</t>
  </si>
  <si>
    <t>Battery Local</t>
  </si>
  <si>
    <t xml:space="preserve">Transformer </t>
  </si>
  <si>
    <t>Main Lead</t>
  </si>
  <si>
    <t>NA</t>
  </si>
  <si>
    <t>Load Cell 3H</t>
  </si>
  <si>
    <t>Load Cell 25x25</t>
  </si>
  <si>
    <t>Load Cell 25x35 (R)</t>
  </si>
  <si>
    <t>Load Cell 25x35 (AL)</t>
  </si>
  <si>
    <t>Indicator Body</t>
  </si>
  <si>
    <t>TT body</t>
  </si>
  <si>
    <t>Bench</t>
  </si>
  <si>
    <t>CAT body</t>
  </si>
  <si>
    <t>Chicken 400x400</t>
  </si>
  <si>
    <t>TT Cross</t>
  </si>
  <si>
    <t>L Pan</t>
  </si>
  <si>
    <t>Plain Pan</t>
  </si>
  <si>
    <t>Load Cell 80 Kg</t>
  </si>
  <si>
    <t>KeyPad</t>
  </si>
  <si>
    <t>Display Red</t>
  </si>
  <si>
    <t>Display Green</t>
  </si>
  <si>
    <t>Display 0.8</t>
  </si>
  <si>
    <t>Relimate 2 pin</t>
  </si>
  <si>
    <t>Relimate 3 Pin</t>
  </si>
  <si>
    <t xml:space="preserve">Relimate 4 pin </t>
  </si>
  <si>
    <t>Relimate 5 Pin</t>
  </si>
  <si>
    <t>Supply</t>
  </si>
  <si>
    <t>Jewellery Card</t>
  </si>
  <si>
    <t>Chicken Lead</t>
  </si>
  <si>
    <t>Frame Set 600x800</t>
  </si>
  <si>
    <t>Frame set 750x750</t>
  </si>
  <si>
    <t>Frame set 600x600</t>
  </si>
  <si>
    <t>Frame set 500x500</t>
  </si>
  <si>
    <t>Frame Set 400x400</t>
  </si>
  <si>
    <t>TT patti</t>
  </si>
  <si>
    <t>Counter Body</t>
  </si>
  <si>
    <t>SS Pan 350x350</t>
  </si>
  <si>
    <t>SS Pan 400x400</t>
  </si>
  <si>
    <t>SS Pan 500x500</t>
  </si>
  <si>
    <t>SS Pan 600x600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</si>
</sst>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5" fontId="0" fillId="0" borderId="0" xfId="0" applyNumberFormat="1" applyAlignment="1">
      <alignment horizontal="center"/>
    </xf>
    <xf numFmtId="2" fontId="2" fillId="0" borderId="1" xfId="0" applyNumberFormat="1" applyFont="1" applyFill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4</xdr:row>
          <xdr:rowOff>38100</xdr:rowOff>
        </xdr:from>
        <xdr:to>
          <xdr:col>10</xdr:col>
          <xdr:colOff>297180</xdr:colOff>
          <xdr:row>6</xdr:row>
          <xdr:rowOff>182880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"/>
  <sheetViews>
    <sheetView tabSelected="1" workbookViewId="0">
      <selection activeCell="N11" sqref="N11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6</xdr:col>
                <xdr:colOff>289560</xdr:colOff>
                <xdr:row>4</xdr:row>
                <xdr:rowOff>38100</xdr:rowOff>
              </from>
              <to>
                <xdr:col>10</xdr:col>
                <xdr:colOff>297180</xdr:colOff>
                <xdr:row>6</xdr:row>
                <xdr:rowOff>182880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51"/>
  <sheetViews>
    <sheetView showGridLines="0" workbookViewId="0">
      <selection activeCell="D13" sqref="D13"/>
    </sheetView>
  </sheetViews>
  <sheetFormatPr defaultRowHeight="14.4" x14ac:dyDescent="0.3"/>
  <cols>
    <col min="1" max="1" width="11.109375" style="1" customWidth="1"/>
    <col min="2" max="2" width="19.88671875" style="1" customWidth="1"/>
    <col min="3" max="4" width="15.6640625" style="14" customWidth="1"/>
    <col min="5" max="5" width="20" customWidth="1"/>
  </cols>
  <sheetData>
    <row r="1" spans="1:5" ht="15" customHeight="1" x14ac:dyDescent="0.3">
      <c r="A1" s="4" t="s">
        <v>18</v>
      </c>
      <c r="B1" s="4" t="s">
        <v>0</v>
      </c>
      <c r="C1" s="7" t="s">
        <v>9</v>
      </c>
      <c r="D1" s="7" t="s">
        <v>7</v>
      </c>
      <c r="E1" s="1"/>
    </row>
    <row r="2" spans="1:5" ht="15" customHeight="1" x14ac:dyDescent="0.3">
      <c r="A2" s="4">
        <f t="shared" ref="A2:A33" si="0">ROW()-1</f>
        <v>1</v>
      </c>
      <c r="B2" s="4" t="s">
        <v>25</v>
      </c>
      <c r="C2" s="7">
        <v>0</v>
      </c>
      <c r="D2" s="7">
        <v>0</v>
      </c>
      <c r="E2" s="1"/>
    </row>
    <row r="3" spans="1:5" ht="15" customHeight="1" x14ac:dyDescent="0.3">
      <c r="A3" s="4">
        <f t="shared" si="0"/>
        <v>2</v>
      </c>
      <c r="B3" s="4" t="s">
        <v>27</v>
      </c>
      <c r="C3" s="7">
        <v>0</v>
      </c>
      <c r="D3" s="7">
        <v>0</v>
      </c>
      <c r="E3" s="1"/>
    </row>
    <row r="4" spans="1:5" ht="15" customHeight="1" x14ac:dyDescent="0.3">
      <c r="A4" s="4">
        <f t="shared" si="0"/>
        <v>3</v>
      </c>
      <c r="B4" s="4" t="s">
        <v>28</v>
      </c>
      <c r="C4" s="7">
        <v>0</v>
      </c>
      <c r="D4" s="7">
        <v>0</v>
      </c>
      <c r="E4" s="1"/>
    </row>
    <row r="5" spans="1:5" ht="15" customHeight="1" x14ac:dyDescent="0.3">
      <c r="A5" s="4">
        <f t="shared" si="0"/>
        <v>4</v>
      </c>
      <c r="B5" s="4" t="s">
        <v>30</v>
      </c>
      <c r="C5" s="7">
        <v>0</v>
      </c>
      <c r="D5" s="7">
        <v>0</v>
      </c>
      <c r="E5" s="1"/>
    </row>
    <row r="6" spans="1:5" ht="15" customHeight="1" x14ac:dyDescent="0.3">
      <c r="A6" s="4">
        <f t="shared" si="0"/>
        <v>5</v>
      </c>
      <c r="B6" s="4" t="s">
        <v>31</v>
      </c>
      <c r="C6" s="7">
        <v>0</v>
      </c>
      <c r="D6" s="7">
        <v>0</v>
      </c>
      <c r="E6" s="1"/>
    </row>
    <row r="7" spans="1:5" ht="15" customHeight="1" x14ac:dyDescent="0.3">
      <c r="A7" s="4">
        <f t="shared" si="0"/>
        <v>6</v>
      </c>
      <c r="B7" s="4" t="s">
        <v>29</v>
      </c>
      <c r="C7" s="7">
        <v>0</v>
      </c>
      <c r="D7" s="7">
        <v>0</v>
      </c>
      <c r="E7" s="1"/>
    </row>
    <row r="8" spans="1:5" ht="15" customHeight="1" x14ac:dyDescent="0.3">
      <c r="A8" s="1">
        <f t="shared" si="0"/>
        <v>7</v>
      </c>
      <c r="B8" s="1" t="s">
        <v>41</v>
      </c>
      <c r="C8" s="14">
        <v>0</v>
      </c>
      <c r="D8" s="14">
        <v>0</v>
      </c>
      <c r="E8" s="1"/>
    </row>
    <row r="9" spans="1:5" ht="15" customHeight="1" x14ac:dyDescent="0.3">
      <c r="A9" s="1">
        <f t="shared" si="0"/>
        <v>8</v>
      </c>
      <c r="B9" s="1" t="s">
        <v>42</v>
      </c>
      <c r="C9" s="14">
        <v>0</v>
      </c>
      <c r="D9" s="14">
        <v>0</v>
      </c>
      <c r="E9" s="1"/>
    </row>
    <row r="10" spans="1:5" ht="15" customHeight="1" x14ac:dyDescent="0.3">
      <c r="A10" s="1">
        <f t="shared" si="0"/>
        <v>9</v>
      </c>
      <c r="B10" s="1" t="s">
        <v>43</v>
      </c>
      <c r="C10" s="14">
        <v>0</v>
      </c>
      <c r="D10" s="14">
        <v>0</v>
      </c>
      <c r="E10" s="1"/>
    </row>
    <row r="11" spans="1:5" ht="15" customHeight="1" x14ac:dyDescent="0.3">
      <c r="A11" s="1">
        <f t="shared" si="0"/>
        <v>10</v>
      </c>
      <c r="B11" s="1" t="s">
        <v>58</v>
      </c>
      <c r="C11" s="14">
        <v>0</v>
      </c>
      <c r="D11" s="14">
        <v>0</v>
      </c>
      <c r="E11" s="1"/>
    </row>
    <row r="12" spans="1:5" ht="15" customHeight="1" x14ac:dyDescent="0.3">
      <c r="A12" s="1">
        <f t="shared" si="0"/>
        <v>11</v>
      </c>
      <c r="B12" s="1" t="s">
        <v>65</v>
      </c>
      <c r="C12" s="14">
        <v>0</v>
      </c>
      <c r="D12" s="14">
        <v>0</v>
      </c>
      <c r="E12" s="1"/>
    </row>
    <row r="13" spans="1:5" ht="15" customHeight="1" x14ac:dyDescent="0.3">
      <c r="A13" s="1">
        <f t="shared" si="0"/>
        <v>12</v>
      </c>
      <c r="B13" s="1" t="s">
        <v>51</v>
      </c>
      <c r="C13" s="14">
        <v>0</v>
      </c>
      <c r="D13" s="14">
        <v>0</v>
      </c>
      <c r="E13" s="1"/>
    </row>
    <row r="14" spans="1:5" ht="15" customHeight="1" x14ac:dyDescent="0.3">
      <c r="A14" s="1">
        <f t="shared" si="0"/>
        <v>13</v>
      </c>
      <c r="B14" s="1" t="s">
        <v>50</v>
      </c>
      <c r="C14" s="14">
        <v>0</v>
      </c>
      <c r="D14" s="14">
        <v>0</v>
      </c>
      <c r="E14" s="1"/>
    </row>
    <row r="15" spans="1:5" ht="15" customHeight="1" x14ac:dyDescent="0.3">
      <c r="A15" s="1">
        <f t="shared" si="0"/>
        <v>14</v>
      </c>
      <c r="B15" s="1" t="s">
        <v>49</v>
      </c>
      <c r="C15" s="14">
        <v>0</v>
      </c>
      <c r="D15" s="14">
        <v>0</v>
      </c>
      <c r="E15" s="1"/>
    </row>
    <row r="16" spans="1:5" x14ac:dyDescent="0.3">
      <c r="A16" s="4">
        <f t="shared" si="0"/>
        <v>15</v>
      </c>
      <c r="B16" s="4" t="s">
        <v>26</v>
      </c>
      <c r="C16" s="7">
        <v>0</v>
      </c>
      <c r="D16" s="7">
        <v>0</v>
      </c>
    </row>
    <row r="17" spans="1:4" x14ac:dyDescent="0.3">
      <c r="A17" s="1">
        <f t="shared" si="0"/>
        <v>16</v>
      </c>
      <c r="B17" s="1" t="s">
        <v>63</v>
      </c>
      <c r="C17" s="14">
        <v>0</v>
      </c>
      <c r="D17" s="14">
        <v>0</v>
      </c>
    </row>
    <row r="18" spans="1:4" x14ac:dyDescent="0.3">
      <c r="A18" s="1">
        <f t="shared" si="0"/>
        <v>17</v>
      </c>
      <c r="B18" s="1" t="s">
        <v>62</v>
      </c>
      <c r="C18" s="14">
        <v>0</v>
      </c>
      <c r="D18" s="14">
        <v>0</v>
      </c>
    </row>
    <row r="19" spans="1:4" x14ac:dyDescent="0.3">
      <c r="A19" s="1">
        <f t="shared" si="0"/>
        <v>18</v>
      </c>
      <c r="B19" s="1" t="s">
        <v>61</v>
      </c>
      <c r="C19" s="14">
        <v>0</v>
      </c>
      <c r="D19" s="14">
        <v>0</v>
      </c>
    </row>
    <row r="20" spans="1:4" x14ac:dyDescent="0.3">
      <c r="A20" s="1">
        <f t="shared" si="0"/>
        <v>19</v>
      </c>
      <c r="B20" s="1" t="s">
        <v>59</v>
      </c>
      <c r="C20" s="14">
        <v>0</v>
      </c>
      <c r="D20" s="14">
        <v>0</v>
      </c>
    </row>
    <row r="21" spans="1:4" x14ac:dyDescent="0.3">
      <c r="A21" s="1">
        <f t="shared" si="0"/>
        <v>20</v>
      </c>
      <c r="B21" s="1" t="s">
        <v>60</v>
      </c>
      <c r="C21" s="14">
        <v>0</v>
      </c>
      <c r="D21" s="14">
        <v>0</v>
      </c>
    </row>
    <row r="22" spans="1:4" x14ac:dyDescent="0.3">
      <c r="A22" s="1">
        <f t="shared" si="0"/>
        <v>21</v>
      </c>
      <c r="B22" s="1" t="s">
        <v>39</v>
      </c>
      <c r="C22" s="14">
        <v>0</v>
      </c>
      <c r="D22" s="14">
        <v>0</v>
      </c>
    </row>
    <row r="23" spans="1:4" x14ac:dyDescent="0.3">
      <c r="A23" s="1">
        <f t="shared" si="0"/>
        <v>22</v>
      </c>
      <c r="B23" s="1" t="s">
        <v>57</v>
      </c>
      <c r="C23" s="14">
        <v>0</v>
      </c>
      <c r="D23" s="14">
        <v>0</v>
      </c>
    </row>
    <row r="24" spans="1:4" x14ac:dyDescent="0.3">
      <c r="A24" s="1">
        <f t="shared" si="0"/>
        <v>23</v>
      </c>
      <c r="B24" s="1" t="s">
        <v>48</v>
      </c>
      <c r="C24" s="14">
        <v>0</v>
      </c>
      <c r="D24" s="14">
        <v>0</v>
      </c>
    </row>
    <row r="25" spans="1:4" x14ac:dyDescent="0.3">
      <c r="A25" s="1">
        <f t="shared" si="0"/>
        <v>24</v>
      </c>
      <c r="B25" s="1" t="s">
        <v>45</v>
      </c>
      <c r="C25" s="14">
        <v>0</v>
      </c>
      <c r="D25" s="14">
        <v>0</v>
      </c>
    </row>
    <row r="26" spans="1:4" x14ac:dyDescent="0.3">
      <c r="A26" s="4">
        <f t="shared" si="0"/>
        <v>25</v>
      </c>
      <c r="B26" s="4" t="s">
        <v>21</v>
      </c>
      <c r="C26" s="7">
        <v>0</v>
      </c>
      <c r="D26" s="7">
        <v>0</v>
      </c>
    </row>
    <row r="27" spans="1:4" x14ac:dyDescent="0.3">
      <c r="A27" s="4">
        <f t="shared" si="0"/>
        <v>26</v>
      </c>
      <c r="B27" s="4" t="s">
        <v>20</v>
      </c>
      <c r="C27" s="7">
        <v>0</v>
      </c>
      <c r="D27" s="7">
        <v>0</v>
      </c>
    </row>
    <row r="28" spans="1:4" x14ac:dyDescent="0.3">
      <c r="A28" s="1">
        <f t="shared" si="0"/>
        <v>27</v>
      </c>
      <c r="B28" s="1" t="s">
        <v>36</v>
      </c>
      <c r="C28" s="14">
        <v>0</v>
      </c>
      <c r="D28" s="14">
        <v>0</v>
      </c>
    </row>
    <row r="29" spans="1:4" x14ac:dyDescent="0.3">
      <c r="A29" s="1">
        <f t="shared" si="0"/>
        <v>28</v>
      </c>
      <c r="B29" s="1" t="s">
        <v>38</v>
      </c>
      <c r="C29" s="14">
        <v>0</v>
      </c>
      <c r="D29" s="14">
        <v>0</v>
      </c>
    </row>
    <row r="30" spans="1:4" x14ac:dyDescent="0.3">
      <c r="A30" s="1">
        <f t="shared" si="0"/>
        <v>29</v>
      </c>
      <c r="B30" s="1" t="s">
        <v>37</v>
      </c>
      <c r="C30" s="14">
        <v>0</v>
      </c>
      <c r="D30" s="14">
        <v>0</v>
      </c>
    </row>
    <row r="31" spans="1:4" x14ac:dyDescent="0.3">
      <c r="A31" s="4">
        <f t="shared" si="0"/>
        <v>30</v>
      </c>
      <c r="B31" s="4" t="s">
        <v>23</v>
      </c>
      <c r="C31" s="7">
        <v>0</v>
      </c>
      <c r="D31" s="7">
        <v>0</v>
      </c>
    </row>
    <row r="32" spans="1:4" x14ac:dyDescent="0.3">
      <c r="A32" s="1">
        <f t="shared" si="0"/>
        <v>31</v>
      </c>
      <c r="B32" s="1" t="s">
        <v>35</v>
      </c>
      <c r="C32" s="14">
        <v>0</v>
      </c>
      <c r="D32" s="14">
        <v>0</v>
      </c>
    </row>
    <row r="33" spans="1:4" x14ac:dyDescent="0.3">
      <c r="A33" s="4">
        <f t="shared" si="0"/>
        <v>32</v>
      </c>
      <c r="B33" s="4" t="s">
        <v>19</v>
      </c>
      <c r="C33" s="7">
        <v>0</v>
      </c>
      <c r="D33" s="7">
        <v>0</v>
      </c>
    </row>
    <row r="34" spans="1:4" x14ac:dyDescent="0.3">
      <c r="A34" s="4">
        <f t="shared" ref="A34:A51" si="1">ROW()-1</f>
        <v>33</v>
      </c>
      <c r="B34" s="4" t="s">
        <v>22</v>
      </c>
      <c r="C34" s="7">
        <v>0</v>
      </c>
      <c r="D34" s="7">
        <v>0</v>
      </c>
    </row>
    <row r="35" spans="1:4" x14ac:dyDescent="0.3">
      <c r="A35" s="1">
        <f t="shared" si="1"/>
        <v>34</v>
      </c>
      <c r="B35" s="1" t="s">
        <v>47</v>
      </c>
      <c r="C35" s="14">
        <v>0</v>
      </c>
      <c r="D35" s="14">
        <v>0</v>
      </c>
    </row>
    <row r="36" spans="1:4" x14ac:dyDescent="0.3">
      <c r="A36" s="1">
        <f t="shared" si="1"/>
        <v>35</v>
      </c>
      <c r="B36" s="1" t="s">
        <v>33</v>
      </c>
      <c r="C36" s="14">
        <v>0</v>
      </c>
      <c r="D36" s="14">
        <v>0</v>
      </c>
    </row>
    <row r="37" spans="1:4" x14ac:dyDescent="0.3">
      <c r="A37" s="1">
        <f t="shared" si="1"/>
        <v>36</v>
      </c>
      <c r="B37" s="1" t="s">
        <v>46</v>
      </c>
      <c r="C37" s="14">
        <v>0</v>
      </c>
      <c r="D37" s="14">
        <v>0</v>
      </c>
    </row>
    <row r="38" spans="1:4" x14ac:dyDescent="0.3">
      <c r="A38" s="1">
        <f t="shared" si="1"/>
        <v>37</v>
      </c>
      <c r="B38" s="1" t="s">
        <v>52</v>
      </c>
      <c r="C38" s="14">
        <v>0</v>
      </c>
      <c r="D38" s="14">
        <v>0</v>
      </c>
    </row>
    <row r="39" spans="1:4" x14ac:dyDescent="0.3">
      <c r="A39" s="1">
        <f t="shared" si="1"/>
        <v>38</v>
      </c>
      <c r="B39" s="1" t="s">
        <v>53</v>
      </c>
      <c r="C39" s="14">
        <v>0</v>
      </c>
      <c r="D39" s="14">
        <v>0</v>
      </c>
    </row>
    <row r="40" spans="1:4" x14ac:dyDescent="0.3">
      <c r="A40" s="1">
        <f t="shared" si="1"/>
        <v>39</v>
      </c>
      <c r="B40" s="1" t="s">
        <v>54</v>
      </c>
      <c r="C40" s="14">
        <v>0</v>
      </c>
      <c r="D40" s="14">
        <v>0</v>
      </c>
    </row>
    <row r="41" spans="1:4" x14ac:dyDescent="0.3">
      <c r="A41" s="1">
        <f t="shared" si="1"/>
        <v>40</v>
      </c>
      <c r="B41" s="1" t="s">
        <v>55</v>
      </c>
      <c r="C41" s="14">
        <v>0</v>
      </c>
      <c r="D41" s="14">
        <v>0</v>
      </c>
    </row>
    <row r="42" spans="1:4" x14ac:dyDescent="0.3">
      <c r="A42" s="4">
        <f t="shared" si="1"/>
        <v>41</v>
      </c>
      <c r="B42" s="4" t="s">
        <v>24</v>
      </c>
      <c r="C42" s="7">
        <v>0</v>
      </c>
      <c r="D42" s="7">
        <v>0</v>
      </c>
    </row>
    <row r="43" spans="1:4" x14ac:dyDescent="0.3">
      <c r="A43" s="1">
        <f t="shared" si="1"/>
        <v>42</v>
      </c>
      <c r="B43" s="1" t="s">
        <v>66</v>
      </c>
      <c r="C43" s="14">
        <v>0</v>
      </c>
      <c r="D43" s="14">
        <v>0</v>
      </c>
    </row>
    <row r="44" spans="1:4" x14ac:dyDescent="0.3">
      <c r="A44" s="1">
        <f t="shared" si="1"/>
        <v>43</v>
      </c>
      <c r="B44" s="1" t="s">
        <v>67</v>
      </c>
      <c r="C44" s="14">
        <v>0</v>
      </c>
      <c r="D44" s="14">
        <v>0</v>
      </c>
    </row>
    <row r="45" spans="1:4" x14ac:dyDescent="0.3">
      <c r="A45" s="1">
        <f t="shared" si="1"/>
        <v>44</v>
      </c>
      <c r="B45" s="1" t="s">
        <v>68</v>
      </c>
      <c r="C45" s="14">
        <v>0</v>
      </c>
      <c r="D45" s="14">
        <v>0</v>
      </c>
    </row>
    <row r="46" spans="1:4" x14ac:dyDescent="0.3">
      <c r="A46" s="1">
        <f t="shared" si="1"/>
        <v>45</v>
      </c>
      <c r="B46" s="1" t="s">
        <v>69</v>
      </c>
      <c r="C46" s="14">
        <v>0</v>
      </c>
      <c r="D46" s="14">
        <v>0</v>
      </c>
    </row>
    <row r="47" spans="1:4" x14ac:dyDescent="0.3">
      <c r="A47" s="1">
        <f t="shared" si="1"/>
        <v>46</v>
      </c>
      <c r="B47" s="1" t="s">
        <v>56</v>
      </c>
      <c r="C47" s="14">
        <v>0</v>
      </c>
      <c r="D47" s="14">
        <v>0</v>
      </c>
    </row>
    <row r="48" spans="1:4" x14ac:dyDescent="0.3">
      <c r="A48" s="4">
        <f t="shared" si="1"/>
        <v>47</v>
      </c>
      <c r="B48" s="4" t="s">
        <v>32</v>
      </c>
      <c r="C48" s="7">
        <v>0</v>
      </c>
      <c r="D48" s="7">
        <v>0</v>
      </c>
    </row>
    <row r="49" spans="1:4" x14ac:dyDescent="0.3">
      <c r="A49" s="1">
        <f t="shared" si="1"/>
        <v>48</v>
      </c>
      <c r="B49" s="1" t="s">
        <v>40</v>
      </c>
      <c r="C49" s="14">
        <v>0</v>
      </c>
      <c r="D49" s="14">
        <v>0</v>
      </c>
    </row>
    <row r="50" spans="1:4" x14ac:dyDescent="0.3">
      <c r="A50" s="1">
        <f t="shared" si="1"/>
        <v>49</v>
      </c>
      <c r="B50" s="1" t="s">
        <v>44</v>
      </c>
      <c r="C50" s="14">
        <v>0</v>
      </c>
      <c r="D50" s="14">
        <v>0</v>
      </c>
    </row>
    <row r="51" spans="1:4" x14ac:dyDescent="0.3">
      <c r="A51" s="1">
        <f t="shared" si="1"/>
        <v>50</v>
      </c>
      <c r="B51" s="1" t="s">
        <v>64</v>
      </c>
      <c r="C51" s="14">
        <v>0</v>
      </c>
      <c r="D51" s="14">
        <v>0</v>
      </c>
    </row>
  </sheetData>
  <phoneticPr fontId="1" type="noConversion"/>
  <conditionalFormatting sqref="B1:B1048576">
    <cfRule type="duplicateValues" dxfId="4" priority="1"/>
  </conditionalFormatting>
  <dataValidations count="1">
    <dataValidation type="custom" allowBlank="1" showInputMessage="1" showErrorMessage="1" errorTitle="Duplicate" error="Duplicate Entry" sqref="B1:B1048576" xr:uid="{00000000-0002-0000-0100-000000000000}">
      <formula1>COUNTIF($B:$B,B1)&lt;2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52"/>
  <sheetViews>
    <sheetView showGridLines="0" workbookViewId="0">
      <selection activeCell="A2" sqref="A2:H4"/>
    </sheetView>
  </sheetViews>
  <sheetFormatPr defaultRowHeight="14.4" x14ac:dyDescent="0.3"/>
  <cols>
    <col min="2" max="2" width="15" customWidth="1"/>
    <col min="3" max="3" width="9.44140625" customWidth="1"/>
    <col min="4" max="4" width="10.44140625" style="10" customWidth="1"/>
    <col min="5" max="6" width="10.44140625" style="8" customWidth="1"/>
    <col min="7" max="7" width="9.109375" style="6"/>
    <col min="8" max="8" width="13.5546875" customWidth="1"/>
  </cols>
  <sheetData>
    <row r="1" spans="1:8" x14ac:dyDescent="0.3">
      <c r="A1" s="4" t="s">
        <v>4</v>
      </c>
      <c r="B1" s="4" t="s">
        <v>0</v>
      </c>
      <c r="C1" s="4" t="s">
        <v>1</v>
      </c>
      <c r="D1" s="9" t="s">
        <v>2</v>
      </c>
      <c r="E1" s="7" t="s">
        <v>10</v>
      </c>
      <c r="F1" s="7" t="s">
        <v>8</v>
      </c>
      <c r="G1" s="5" t="s">
        <v>3</v>
      </c>
      <c r="H1" s="4" t="s">
        <v>13</v>
      </c>
    </row>
    <row r="2" spans="1:8" x14ac:dyDescent="0.3">
      <c r="A2" s="4">
        <f t="shared" ref="A2:A33" si="0">ROW()-1</f>
        <v>1</v>
      </c>
      <c r="B2" s="4" t="s">
        <v>19</v>
      </c>
      <c r="C2" s="4" t="s">
        <v>6</v>
      </c>
      <c r="D2" s="9">
        <v>20</v>
      </c>
      <c r="E2" s="7">
        <v>0</v>
      </c>
      <c r="F2" s="7">
        <v>0</v>
      </c>
      <c r="G2" s="5">
        <v>43983</v>
      </c>
      <c r="H2" s="4" t="s">
        <v>34</v>
      </c>
    </row>
    <row r="3" spans="1:8" x14ac:dyDescent="0.3">
      <c r="A3" s="4">
        <f t="shared" si="0"/>
        <v>2</v>
      </c>
      <c r="B3" s="4" t="s">
        <v>35</v>
      </c>
      <c r="C3" s="4" t="s">
        <v>6</v>
      </c>
      <c r="D3" s="9">
        <v>15</v>
      </c>
      <c r="E3" s="7">
        <v>0</v>
      </c>
      <c r="F3" s="7">
        <v>0</v>
      </c>
      <c r="G3" s="5">
        <v>43983</v>
      </c>
      <c r="H3" s="4" t="s">
        <v>34</v>
      </c>
    </row>
    <row r="4" spans="1:8" x14ac:dyDescent="0.3">
      <c r="A4" s="4">
        <f t="shared" si="0"/>
        <v>3</v>
      </c>
      <c r="B4" s="4" t="s">
        <v>24</v>
      </c>
      <c r="C4" s="4" t="s">
        <v>6</v>
      </c>
      <c r="D4" s="9">
        <v>50</v>
      </c>
      <c r="E4" s="7">
        <v>0</v>
      </c>
      <c r="F4" s="7">
        <v>0</v>
      </c>
      <c r="G4" s="5">
        <v>43983</v>
      </c>
      <c r="H4" s="4" t="s">
        <v>34</v>
      </c>
    </row>
    <row r="5" spans="1:8" x14ac:dyDescent="0.3">
      <c r="A5" s="4">
        <f t="shared" si="0"/>
        <v>4</v>
      </c>
      <c r="B5" s="4" t="s">
        <v>39</v>
      </c>
      <c r="C5" s="4" t="s">
        <v>6</v>
      </c>
      <c r="D5" s="9">
        <v>20</v>
      </c>
      <c r="E5" s="7">
        <v>0</v>
      </c>
      <c r="F5" s="7">
        <v>0</v>
      </c>
      <c r="G5" s="5">
        <v>43984</v>
      </c>
      <c r="H5" s="4" t="s">
        <v>34</v>
      </c>
    </row>
    <row r="6" spans="1:8" x14ac:dyDescent="0.3">
      <c r="A6" s="4">
        <f t="shared" si="0"/>
        <v>5</v>
      </c>
      <c r="B6" s="4" t="s">
        <v>42</v>
      </c>
      <c r="C6" s="4" t="s">
        <v>6</v>
      </c>
      <c r="D6" s="9">
        <v>10</v>
      </c>
      <c r="E6" s="7">
        <v>0</v>
      </c>
      <c r="F6" s="7">
        <v>0</v>
      </c>
      <c r="G6" s="5">
        <v>43984</v>
      </c>
      <c r="H6" s="4" t="s">
        <v>34</v>
      </c>
    </row>
    <row r="7" spans="1:8" x14ac:dyDescent="0.3">
      <c r="A7" s="4">
        <f t="shared" si="0"/>
        <v>6</v>
      </c>
      <c r="B7" s="4" t="s">
        <v>40</v>
      </c>
      <c r="C7" s="4" t="s">
        <v>6</v>
      </c>
      <c r="D7" s="9">
        <v>50</v>
      </c>
      <c r="E7" s="7">
        <v>0</v>
      </c>
      <c r="F7" s="7">
        <v>0</v>
      </c>
      <c r="G7" s="5">
        <v>43984</v>
      </c>
      <c r="H7" s="4" t="s">
        <v>34</v>
      </c>
    </row>
    <row r="8" spans="1:8" x14ac:dyDescent="0.3">
      <c r="A8" s="4">
        <f t="shared" si="0"/>
        <v>7</v>
      </c>
      <c r="B8" s="4" t="s">
        <v>41</v>
      </c>
      <c r="C8" s="4" t="s">
        <v>6</v>
      </c>
      <c r="D8" s="9">
        <v>3</v>
      </c>
      <c r="E8" s="7">
        <v>0</v>
      </c>
      <c r="F8" s="7">
        <v>0</v>
      </c>
      <c r="G8" s="5">
        <v>43984</v>
      </c>
      <c r="H8" s="4" t="s">
        <v>34</v>
      </c>
    </row>
    <row r="9" spans="1:8" x14ac:dyDescent="0.3">
      <c r="A9" s="4">
        <f t="shared" si="0"/>
        <v>8</v>
      </c>
      <c r="B9" s="4" t="s">
        <v>43</v>
      </c>
      <c r="C9" s="4" t="s">
        <v>6</v>
      </c>
      <c r="D9" s="9">
        <v>10</v>
      </c>
      <c r="E9" s="7">
        <v>0</v>
      </c>
      <c r="F9" s="7">
        <v>0</v>
      </c>
      <c r="G9" s="5">
        <v>43984</v>
      </c>
      <c r="H9" s="4" t="s">
        <v>34</v>
      </c>
    </row>
    <row r="10" spans="1:8" x14ac:dyDescent="0.3">
      <c r="A10" s="4">
        <f t="shared" si="0"/>
        <v>9</v>
      </c>
      <c r="B10" s="4" t="s">
        <v>44</v>
      </c>
      <c r="C10" s="4" t="s">
        <v>6</v>
      </c>
      <c r="D10" s="9">
        <v>100</v>
      </c>
      <c r="E10" s="7">
        <v>0</v>
      </c>
      <c r="F10" s="7">
        <v>0</v>
      </c>
      <c r="G10" s="5">
        <v>43985</v>
      </c>
      <c r="H10" s="4" t="s">
        <v>34</v>
      </c>
    </row>
    <row r="11" spans="1:8" x14ac:dyDescent="0.3">
      <c r="A11" s="4">
        <f t="shared" si="0"/>
        <v>10</v>
      </c>
      <c r="B11" s="4" t="s">
        <v>45</v>
      </c>
      <c r="C11" s="4" t="s">
        <v>6</v>
      </c>
      <c r="D11" s="9">
        <v>50</v>
      </c>
      <c r="E11" s="7">
        <v>0</v>
      </c>
      <c r="F11" s="7">
        <v>0</v>
      </c>
      <c r="G11" s="5">
        <v>43985</v>
      </c>
      <c r="H11" s="4" t="s">
        <v>34</v>
      </c>
    </row>
    <row r="12" spans="1:8" x14ac:dyDescent="0.3">
      <c r="A12" s="4">
        <f t="shared" si="0"/>
        <v>11</v>
      </c>
      <c r="B12" s="4" t="s">
        <v>46</v>
      </c>
      <c r="C12" s="4" t="s">
        <v>6</v>
      </c>
      <c r="D12" s="9">
        <v>50</v>
      </c>
      <c r="E12" s="7">
        <v>0</v>
      </c>
      <c r="F12" s="7">
        <v>0</v>
      </c>
      <c r="G12" s="5">
        <v>43985</v>
      </c>
      <c r="H12" s="4" t="s">
        <v>34</v>
      </c>
    </row>
    <row r="13" spans="1:8" x14ac:dyDescent="0.3">
      <c r="A13" s="4">
        <f t="shared" si="0"/>
        <v>12</v>
      </c>
      <c r="B13" s="4" t="s">
        <v>30</v>
      </c>
      <c r="C13" s="4" t="s">
        <v>6</v>
      </c>
      <c r="D13" s="9">
        <v>100</v>
      </c>
      <c r="E13" s="7">
        <v>0</v>
      </c>
      <c r="F13" s="7">
        <v>0</v>
      </c>
      <c r="G13" s="5">
        <v>43985</v>
      </c>
      <c r="H13" s="4" t="s">
        <v>34</v>
      </c>
    </row>
    <row r="14" spans="1:8" x14ac:dyDescent="0.3">
      <c r="A14" s="4">
        <f t="shared" si="0"/>
        <v>13</v>
      </c>
      <c r="B14" s="4" t="s">
        <v>24</v>
      </c>
      <c r="C14" s="4" t="s">
        <v>6</v>
      </c>
      <c r="D14" s="9">
        <v>80</v>
      </c>
      <c r="E14" s="7">
        <v>0</v>
      </c>
      <c r="F14" s="7">
        <v>0</v>
      </c>
      <c r="G14" s="5">
        <v>43985</v>
      </c>
      <c r="H14" s="4" t="s">
        <v>34</v>
      </c>
    </row>
    <row r="15" spans="1:8" x14ac:dyDescent="0.3">
      <c r="A15" s="4">
        <f t="shared" si="0"/>
        <v>14</v>
      </c>
      <c r="B15" s="4" t="s">
        <v>25</v>
      </c>
      <c r="C15" s="4" t="s">
        <v>6</v>
      </c>
      <c r="D15" s="9">
        <v>10</v>
      </c>
      <c r="E15" s="7">
        <v>0</v>
      </c>
      <c r="F15" s="7">
        <v>0</v>
      </c>
      <c r="G15" s="5">
        <v>43985</v>
      </c>
      <c r="H15" s="4" t="s">
        <v>34</v>
      </c>
    </row>
    <row r="16" spans="1:8" x14ac:dyDescent="0.3">
      <c r="A16" s="4">
        <f t="shared" si="0"/>
        <v>15</v>
      </c>
      <c r="B16" s="4" t="s">
        <v>47</v>
      </c>
      <c r="C16" s="4" t="s">
        <v>6</v>
      </c>
      <c r="D16" s="9">
        <v>5</v>
      </c>
      <c r="E16" s="7">
        <v>0</v>
      </c>
      <c r="F16" s="7">
        <v>0</v>
      </c>
      <c r="G16" s="5">
        <v>43985</v>
      </c>
      <c r="H16" s="4" t="s">
        <v>34</v>
      </c>
    </row>
    <row r="17" spans="1:8" x14ac:dyDescent="0.3">
      <c r="A17" s="4">
        <f t="shared" si="0"/>
        <v>16</v>
      </c>
      <c r="B17" s="4" t="s">
        <v>35</v>
      </c>
      <c r="C17" s="4" t="s">
        <v>6</v>
      </c>
      <c r="D17" s="9">
        <v>5</v>
      </c>
      <c r="E17" s="7">
        <v>0</v>
      </c>
      <c r="F17" s="7">
        <v>0</v>
      </c>
      <c r="G17" s="5">
        <v>43985</v>
      </c>
      <c r="H17" s="4" t="s">
        <v>34</v>
      </c>
    </row>
    <row r="18" spans="1:8" x14ac:dyDescent="0.3">
      <c r="A18" s="4">
        <f t="shared" si="0"/>
        <v>17</v>
      </c>
      <c r="B18" s="4" t="s">
        <v>48</v>
      </c>
      <c r="C18" s="4" t="s">
        <v>6</v>
      </c>
      <c r="D18" s="9">
        <v>100</v>
      </c>
      <c r="E18" s="7">
        <v>0</v>
      </c>
      <c r="F18" s="7">
        <v>0</v>
      </c>
      <c r="G18" s="5">
        <v>43985</v>
      </c>
      <c r="H18" s="4" t="s">
        <v>34</v>
      </c>
    </row>
    <row r="19" spans="1:8" x14ac:dyDescent="0.3">
      <c r="A19" s="4">
        <f t="shared" si="0"/>
        <v>18</v>
      </c>
      <c r="B19" s="4" t="s">
        <v>50</v>
      </c>
      <c r="C19" s="4" t="s">
        <v>6</v>
      </c>
      <c r="D19" s="9">
        <v>35</v>
      </c>
      <c r="E19" s="7">
        <v>0</v>
      </c>
      <c r="F19" s="7">
        <v>0</v>
      </c>
      <c r="G19" s="5">
        <v>43986</v>
      </c>
      <c r="H19" s="4" t="s">
        <v>34</v>
      </c>
    </row>
    <row r="20" spans="1:8" x14ac:dyDescent="0.3">
      <c r="A20" s="4">
        <f t="shared" si="0"/>
        <v>19</v>
      </c>
      <c r="B20" s="4" t="s">
        <v>49</v>
      </c>
      <c r="C20" s="4" t="s">
        <v>6</v>
      </c>
      <c r="D20" s="9">
        <v>70</v>
      </c>
      <c r="E20" s="7">
        <v>0</v>
      </c>
      <c r="F20" s="7">
        <v>0</v>
      </c>
      <c r="G20" s="5">
        <v>43986</v>
      </c>
      <c r="H20" s="4" t="s">
        <v>34</v>
      </c>
    </row>
    <row r="21" spans="1:8" x14ac:dyDescent="0.3">
      <c r="A21" s="4">
        <f t="shared" si="0"/>
        <v>20</v>
      </c>
      <c r="B21" s="4" t="s">
        <v>52</v>
      </c>
      <c r="C21" s="4" t="s">
        <v>6</v>
      </c>
      <c r="D21" s="9">
        <v>100</v>
      </c>
      <c r="E21" s="7">
        <v>0</v>
      </c>
      <c r="F21" s="7">
        <v>0</v>
      </c>
      <c r="G21" s="5">
        <v>43986</v>
      </c>
      <c r="H21" s="4" t="s">
        <v>34</v>
      </c>
    </row>
    <row r="22" spans="1:8" x14ac:dyDescent="0.3">
      <c r="A22" s="4">
        <f t="shared" si="0"/>
        <v>21</v>
      </c>
      <c r="B22" s="4" t="s">
        <v>53</v>
      </c>
      <c r="C22" s="4" t="s">
        <v>6</v>
      </c>
      <c r="D22" s="9">
        <v>100</v>
      </c>
      <c r="E22" s="7">
        <v>0</v>
      </c>
      <c r="F22" s="7">
        <v>0</v>
      </c>
      <c r="G22" s="5">
        <v>43986</v>
      </c>
      <c r="H22" s="4" t="s">
        <v>34</v>
      </c>
    </row>
    <row r="23" spans="1:8" x14ac:dyDescent="0.3">
      <c r="A23" s="4">
        <f t="shared" si="0"/>
        <v>22</v>
      </c>
      <c r="B23" s="4" t="s">
        <v>54</v>
      </c>
      <c r="C23" s="4" t="s">
        <v>6</v>
      </c>
      <c r="D23" s="9">
        <v>100</v>
      </c>
      <c r="E23" s="7">
        <v>0</v>
      </c>
      <c r="F23" s="7">
        <v>0</v>
      </c>
      <c r="G23" s="5">
        <v>43986</v>
      </c>
      <c r="H23" s="4" t="s">
        <v>34</v>
      </c>
    </row>
    <row r="24" spans="1:8" x14ac:dyDescent="0.3">
      <c r="A24" s="4">
        <f t="shared" si="0"/>
        <v>23</v>
      </c>
      <c r="B24" s="4" t="s">
        <v>55</v>
      </c>
      <c r="C24" s="4" t="s">
        <v>6</v>
      </c>
      <c r="D24" s="9">
        <v>100</v>
      </c>
      <c r="E24" s="7">
        <v>0</v>
      </c>
      <c r="F24" s="7">
        <v>0</v>
      </c>
      <c r="G24" s="5">
        <v>43986</v>
      </c>
      <c r="H24" s="4" t="s">
        <v>34</v>
      </c>
    </row>
    <row r="25" spans="1:8" x14ac:dyDescent="0.3">
      <c r="A25" s="4">
        <f t="shared" si="0"/>
        <v>24</v>
      </c>
      <c r="B25" s="4" t="s">
        <v>49</v>
      </c>
      <c r="C25" s="4" t="s">
        <v>6</v>
      </c>
      <c r="D25" s="9">
        <v>50</v>
      </c>
      <c r="E25" s="7">
        <v>0</v>
      </c>
      <c r="F25" s="7">
        <v>0</v>
      </c>
      <c r="G25" s="5">
        <v>43987</v>
      </c>
      <c r="H25" s="4" t="s">
        <v>34</v>
      </c>
    </row>
    <row r="26" spans="1:8" x14ac:dyDescent="0.3">
      <c r="A26" s="4">
        <f t="shared" si="0"/>
        <v>25</v>
      </c>
      <c r="B26" s="4" t="s">
        <v>51</v>
      </c>
      <c r="C26" s="4" t="s">
        <v>6</v>
      </c>
      <c r="D26" s="9">
        <v>4</v>
      </c>
      <c r="E26" s="7">
        <v>0</v>
      </c>
      <c r="F26" s="7">
        <v>0</v>
      </c>
      <c r="G26" s="5">
        <v>43987</v>
      </c>
      <c r="H26" s="4" t="s">
        <v>34</v>
      </c>
    </row>
    <row r="27" spans="1:8" x14ac:dyDescent="0.3">
      <c r="A27" s="4">
        <f t="shared" si="0"/>
        <v>26</v>
      </c>
      <c r="B27" s="4" t="s">
        <v>19</v>
      </c>
      <c r="C27" s="4" t="s">
        <v>6</v>
      </c>
      <c r="D27" s="9">
        <v>10</v>
      </c>
      <c r="E27" s="7">
        <v>0</v>
      </c>
      <c r="F27" s="7">
        <v>0</v>
      </c>
      <c r="G27" s="5">
        <v>43987</v>
      </c>
      <c r="H27" s="4" t="s">
        <v>34</v>
      </c>
    </row>
    <row r="28" spans="1:8" x14ac:dyDescent="0.3">
      <c r="A28" s="4">
        <f t="shared" si="0"/>
        <v>27</v>
      </c>
      <c r="B28" s="4" t="s">
        <v>26</v>
      </c>
      <c r="C28" s="4" t="s">
        <v>6</v>
      </c>
      <c r="D28" s="9">
        <v>5</v>
      </c>
      <c r="E28" s="7">
        <v>0</v>
      </c>
      <c r="F28" s="7">
        <v>0</v>
      </c>
      <c r="G28" s="5">
        <v>43987</v>
      </c>
      <c r="H28" s="4" t="s">
        <v>34</v>
      </c>
    </row>
    <row r="29" spans="1:8" x14ac:dyDescent="0.3">
      <c r="A29" s="4">
        <f t="shared" si="0"/>
        <v>28</v>
      </c>
      <c r="B29" s="4" t="s">
        <v>56</v>
      </c>
      <c r="C29" s="4" t="s">
        <v>6</v>
      </c>
      <c r="D29" s="9">
        <v>15</v>
      </c>
      <c r="E29" s="7">
        <v>0</v>
      </c>
      <c r="F29" s="7">
        <v>0</v>
      </c>
      <c r="G29" s="5">
        <v>43987</v>
      </c>
      <c r="H29" s="4" t="s">
        <v>34</v>
      </c>
    </row>
    <row r="30" spans="1:8" x14ac:dyDescent="0.3">
      <c r="A30">
        <f t="shared" si="0"/>
        <v>29</v>
      </c>
      <c r="B30" t="s">
        <v>57</v>
      </c>
      <c r="C30" t="s">
        <v>6</v>
      </c>
      <c r="D30" s="10">
        <v>1</v>
      </c>
      <c r="E30" s="8">
        <v>0</v>
      </c>
      <c r="F30" s="8">
        <v>0</v>
      </c>
      <c r="G30" s="6">
        <v>43987</v>
      </c>
      <c r="H30" t="s">
        <v>34</v>
      </c>
    </row>
    <row r="31" spans="1:8" x14ac:dyDescent="0.3">
      <c r="A31">
        <f t="shared" si="0"/>
        <v>30</v>
      </c>
      <c r="B31" t="s">
        <v>58</v>
      </c>
      <c r="C31" t="s">
        <v>6</v>
      </c>
      <c r="D31" s="10">
        <v>40</v>
      </c>
      <c r="E31" s="8">
        <v>0</v>
      </c>
      <c r="F31" s="8">
        <v>0</v>
      </c>
      <c r="G31" s="6">
        <v>43988</v>
      </c>
      <c r="H31" t="s">
        <v>34</v>
      </c>
    </row>
    <row r="32" spans="1:8" x14ac:dyDescent="0.3">
      <c r="A32">
        <f t="shared" si="0"/>
        <v>31</v>
      </c>
      <c r="B32" t="s">
        <v>19</v>
      </c>
      <c r="C32" t="s">
        <v>6</v>
      </c>
      <c r="D32" s="10">
        <v>30</v>
      </c>
      <c r="E32" s="8">
        <v>0</v>
      </c>
      <c r="F32" s="8">
        <v>0</v>
      </c>
      <c r="G32" s="6">
        <v>43988</v>
      </c>
      <c r="H32" t="s">
        <v>34</v>
      </c>
    </row>
    <row r="33" spans="1:8" x14ac:dyDescent="0.3">
      <c r="A33">
        <f t="shared" si="0"/>
        <v>32</v>
      </c>
      <c r="B33" t="s">
        <v>20</v>
      </c>
      <c r="C33" t="s">
        <v>6</v>
      </c>
      <c r="D33" s="10">
        <v>20</v>
      </c>
      <c r="E33" s="8">
        <v>0</v>
      </c>
      <c r="F33" s="8">
        <v>0</v>
      </c>
      <c r="G33" s="6">
        <v>43988</v>
      </c>
      <c r="H33" t="s">
        <v>34</v>
      </c>
    </row>
    <row r="34" spans="1:8" x14ac:dyDescent="0.3">
      <c r="A34">
        <f t="shared" ref="A34:A52" si="1">ROW()-1</f>
        <v>33</v>
      </c>
      <c r="B34" t="s">
        <v>36</v>
      </c>
      <c r="C34" t="s">
        <v>6</v>
      </c>
      <c r="D34" s="10">
        <v>5</v>
      </c>
      <c r="E34" s="8">
        <v>0</v>
      </c>
      <c r="F34" s="8">
        <v>0</v>
      </c>
      <c r="G34" s="6">
        <v>43988</v>
      </c>
      <c r="H34" t="s">
        <v>34</v>
      </c>
    </row>
    <row r="35" spans="1:8" x14ac:dyDescent="0.3">
      <c r="A35">
        <f t="shared" si="1"/>
        <v>34</v>
      </c>
      <c r="B35" t="s">
        <v>25</v>
      </c>
      <c r="C35" t="s">
        <v>6</v>
      </c>
      <c r="D35" s="10">
        <v>25</v>
      </c>
      <c r="E35" s="8">
        <v>0</v>
      </c>
      <c r="F35" s="8">
        <v>0</v>
      </c>
      <c r="G35" s="6">
        <v>43988</v>
      </c>
      <c r="H35" t="s">
        <v>34</v>
      </c>
    </row>
    <row r="36" spans="1:8" x14ac:dyDescent="0.3">
      <c r="A36">
        <f t="shared" si="1"/>
        <v>35</v>
      </c>
      <c r="B36" t="s">
        <v>24</v>
      </c>
      <c r="C36" t="s">
        <v>6</v>
      </c>
      <c r="D36" s="10">
        <v>25</v>
      </c>
      <c r="E36" s="8">
        <v>0</v>
      </c>
      <c r="F36" s="8">
        <v>0</v>
      </c>
      <c r="G36" s="6">
        <v>43988</v>
      </c>
      <c r="H36" t="s">
        <v>34</v>
      </c>
    </row>
    <row r="37" spans="1:8" x14ac:dyDescent="0.3">
      <c r="A37">
        <f t="shared" si="1"/>
        <v>36</v>
      </c>
      <c r="B37" t="s">
        <v>28</v>
      </c>
      <c r="C37" t="s">
        <v>6</v>
      </c>
      <c r="D37" s="10">
        <v>60</v>
      </c>
      <c r="E37" s="8">
        <v>0</v>
      </c>
      <c r="F37" s="8">
        <v>0</v>
      </c>
      <c r="G37" s="6">
        <v>43988</v>
      </c>
      <c r="H37" t="s">
        <v>34</v>
      </c>
    </row>
    <row r="38" spans="1:8" x14ac:dyDescent="0.3">
      <c r="A38">
        <f t="shared" si="1"/>
        <v>37</v>
      </c>
      <c r="B38" t="s">
        <v>59</v>
      </c>
      <c r="C38" t="s">
        <v>6</v>
      </c>
      <c r="D38" s="10">
        <v>4</v>
      </c>
      <c r="E38" s="8">
        <v>0</v>
      </c>
      <c r="F38" s="8">
        <v>0</v>
      </c>
      <c r="G38" s="6">
        <v>43988</v>
      </c>
      <c r="H38" t="s">
        <v>34</v>
      </c>
    </row>
    <row r="39" spans="1:8" x14ac:dyDescent="0.3">
      <c r="A39">
        <f t="shared" si="1"/>
        <v>38</v>
      </c>
      <c r="B39" t="s">
        <v>60</v>
      </c>
      <c r="C39" t="s">
        <v>6</v>
      </c>
      <c r="D39" s="10">
        <v>5</v>
      </c>
      <c r="E39" s="8">
        <v>0</v>
      </c>
      <c r="F39" s="8">
        <v>0</v>
      </c>
      <c r="G39" s="6">
        <v>43988</v>
      </c>
      <c r="H39" t="s">
        <v>34</v>
      </c>
    </row>
    <row r="40" spans="1:8" x14ac:dyDescent="0.3">
      <c r="A40">
        <f t="shared" si="1"/>
        <v>39</v>
      </c>
      <c r="B40" t="s">
        <v>40</v>
      </c>
      <c r="C40" t="s">
        <v>6</v>
      </c>
      <c r="D40" s="10">
        <v>70</v>
      </c>
      <c r="E40" s="8">
        <v>0</v>
      </c>
      <c r="F40" s="8">
        <v>0</v>
      </c>
      <c r="G40" s="6">
        <v>43990</v>
      </c>
      <c r="H40" t="s">
        <v>34</v>
      </c>
    </row>
    <row r="41" spans="1:8" x14ac:dyDescent="0.3">
      <c r="A41">
        <f t="shared" si="1"/>
        <v>40</v>
      </c>
      <c r="B41" t="s">
        <v>41</v>
      </c>
      <c r="C41" t="s">
        <v>6</v>
      </c>
      <c r="D41" s="10">
        <v>12</v>
      </c>
      <c r="E41" s="8">
        <v>0</v>
      </c>
      <c r="F41" s="8">
        <v>0</v>
      </c>
      <c r="G41" s="6">
        <v>43990</v>
      </c>
      <c r="H41" t="s">
        <v>34</v>
      </c>
    </row>
    <row r="42" spans="1:8" x14ac:dyDescent="0.3">
      <c r="A42">
        <f t="shared" si="1"/>
        <v>41</v>
      </c>
      <c r="B42" t="s">
        <v>42</v>
      </c>
      <c r="C42" t="s">
        <v>6</v>
      </c>
      <c r="D42" s="10">
        <v>20</v>
      </c>
      <c r="E42" s="8">
        <v>0</v>
      </c>
      <c r="F42" s="8">
        <v>0</v>
      </c>
      <c r="G42" s="6">
        <v>43990</v>
      </c>
      <c r="H42" t="s">
        <v>34</v>
      </c>
    </row>
    <row r="43" spans="1:8" x14ac:dyDescent="0.3">
      <c r="A43">
        <f t="shared" si="1"/>
        <v>42</v>
      </c>
      <c r="B43" t="s">
        <v>25</v>
      </c>
      <c r="C43" t="s">
        <v>6</v>
      </c>
      <c r="D43" s="10">
        <v>70</v>
      </c>
      <c r="E43" s="8">
        <v>0</v>
      </c>
      <c r="F43" s="8">
        <v>0</v>
      </c>
      <c r="G43" s="6">
        <v>43990</v>
      </c>
      <c r="H43" t="s">
        <v>34</v>
      </c>
    </row>
    <row r="44" spans="1:8" x14ac:dyDescent="0.3">
      <c r="A44">
        <f t="shared" si="1"/>
        <v>43</v>
      </c>
      <c r="B44" t="s">
        <v>37</v>
      </c>
      <c r="C44" t="s">
        <v>6</v>
      </c>
      <c r="D44" s="10">
        <v>6</v>
      </c>
      <c r="E44" s="8">
        <v>0</v>
      </c>
      <c r="F44" s="8">
        <v>0</v>
      </c>
      <c r="G44" s="6">
        <v>43990</v>
      </c>
      <c r="H44" t="s">
        <v>34</v>
      </c>
    </row>
    <row r="45" spans="1:8" x14ac:dyDescent="0.3">
      <c r="A45">
        <f t="shared" si="1"/>
        <v>44</v>
      </c>
      <c r="B45" t="s">
        <v>64</v>
      </c>
      <c r="C45" t="s">
        <v>6</v>
      </c>
      <c r="D45" s="10">
        <v>55</v>
      </c>
      <c r="E45" s="8">
        <v>0</v>
      </c>
      <c r="F45" s="8">
        <v>0</v>
      </c>
      <c r="G45" s="6">
        <v>43990</v>
      </c>
      <c r="H45" t="s">
        <v>34</v>
      </c>
    </row>
    <row r="46" spans="1:8" x14ac:dyDescent="0.3">
      <c r="A46">
        <f t="shared" si="1"/>
        <v>45</v>
      </c>
      <c r="B46" t="s">
        <v>32</v>
      </c>
      <c r="C46" t="s">
        <v>6</v>
      </c>
      <c r="D46" s="10">
        <v>400</v>
      </c>
      <c r="E46" s="8">
        <v>0</v>
      </c>
      <c r="F46" s="8">
        <v>0</v>
      </c>
      <c r="G46" s="6">
        <v>43991</v>
      </c>
      <c r="H46" t="s">
        <v>34</v>
      </c>
    </row>
    <row r="47" spans="1:8" x14ac:dyDescent="0.3">
      <c r="A47">
        <f t="shared" si="1"/>
        <v>46</v>
      </c>
      <c r="B47" t="s">
        <v>65</v>
      </c>
      <c r="C47" t="s">
        <v>6</v>
      </c>
      <c r="D47" s="10">
        <v>40</v>
      </c>
      <c r="E47" s="8">
        <v>0</v>
      </c>
      <c r="F47" s="8">
        <v>0</v>
      </c>
      <c r="G47" s="6">
        <v>43992</v>
      </c>
      <c r="H47" t="s">
        <v>34</v>
      </c>
    </row>
    <row r="48" spans="1:8" x14ac:dyDescent="0.3">
      <c r="A48">
        <f t="shared" si="1"/>
        <v>47</v>
      </c>
      <c r="B48" t="s">
        <v>25</v>
      </c>
      <c r="C48" t="s">
        <v>6</v>
      </c>
      <c r="D48" s="10">
        <v>50</v>
      </c>
      <c r="E48" s="8">
        <v>0</v>
      </c>
      <c r="F48" s="8">
        <v>0</v>
      </c>
      <c r="G48" s="6">
        <v>43992</v>
      </c>
      <c r="H48" t="s">
        <v>34</v>
      </c>
    </row>
    <row r="49" spans="1:8" x14ac:dyDescent="0.3">
      <c r="A49">
        <f t="shared" si="1"/>
        <v>48</v>
      </c>
      <c r="B49" t="s">
        <v>26</v>
      </c>
      <c r="C49" t="s">
        <v>6</v>
      </c>
      <c r="D49" s="10">
        <v>10</v>
      </c>
      <c r="E49" s="8">
        <v>0</v>
      </c>
      <c r="F49" s="8">
        <v>0</v>
      </c>
      <c r="G49" s="6">
        <v>43992</v>
      </c>
      <c r="H49" t="s">
        <v>34</v>
      </c>
    </row>
    <row r="50" spans="1:8" x14ac:dyDescent="0.3">
      <c r="A50">
        <f t="shared" si="1"/>
        <v>49</v>
      </c>
      <c r="B50" t="s">
        <v>49</v>
      </c>
      <c r="C50" t="s">
        <v>6</v>
      </c>
      <c r="D50" s="10">
        <v>70</v>
      </c>
      <c r="E50" s="8">
        <v>0</v>
      </c>
      <c r="F50" s="8">
        <v>0</v>
      </c>
      <c r="G50" s="6">
        <v>43992</v>
      </c>
      <c r="H50" t="s">
        <v>34</v>
      </c>
    </row>
    <row r="51" spans="1:8" x14ac:dyDescent="0.3">
      <c r="A51">
        <f t="shared" si="1"/>
        <v>50</v>
      </c>
      <c r="B51" t="s">
        <v>64</v>
      </c>
      <c r="C51" t="s">
        <v>6</v>
      </c>
      <c r="D51" s="10">
        <v>27</v>
      </c>
      <c r="E51" s="8">
        <v>0</v>
      </c>
      <c r="F51" s="8">
        <v>0</v>
      </c>
      <c r="G51" s="6">
        <v>43993</v>
      </c>
      <c r="H51" t="s">
        <v>34</v>
      </c>
    </row>
    <row r="52" spans="1:8" x14ac:dyDescent="0.3">
      <c r="A52">
        <f t="shared" si="1"/>
        <v>51</v>
      </c>
      <c r="B52" t="s">
        <v>49</v>
      </c>
      <c r="C52" t="s">
        <v>6</v>
      </c>
      <c r="D52" s="10">
        <v>70</v>
      </c>
      <c r="E52" s="8">
        <v>0</v>
      </c>
      <c r="F52" s="8">
        <v>0</v>
      </c>
      <c r="G52" s="6">
        <v>43993</v>
      </c>
      <c r="H52" t="s">
        <v>34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52"/>
  <sheetViews>
    <sheetView showGridLines="0" workbookViewId="0">
      <selection sqref="A1:H1"/>
    </sheetView>
  </sheetViews>
  <sheetFormatPr defaultRowHeight="14.4" x14ac:dyDescent="0.3"/>
  <sheetData>
    <row r="1" spans="1:8" x14ac:dyDescent="0.3">
      <c r="A1" t="s">
        <v>4</v>
      </c>
      <c r="B1" t="s">
        <v>0</v>
      </c>
      <c r="C1" t="s">
        <v>1</v>
      </c>
      <c r="D1" s="10" t="s">
        <v>2</v>
      </c>
      <c r="E1" s="8" t="s">
        <v>10</v>
      </c>
      <c r="F1" s="8" t="s">
        <v>8</v>
      </c>
      <c r="G1" s="6" t="s">
        <v>3</v>
      </c>
      <c r="H1" t="s">
        <v>13</v>
      </c>
    </row>
    <row r="2" spans="1:8" x14ac:dyDescent="0.3">
      <c r="D2" s="10"/>
      <c r="E2" s="8"/>
      <c r="F2" s="8"/>
      <c r="G2" s="6"/>
    </row>
    <row r="3" spans="1:8" x14ac:dyDescent="0.3">
      <c r="D3" s="10"/>
      <c r="E3" s="8"/>
      <c r="F3" s="8"/>
      <c r="G3" s="6"/>
    </row>
    <row r="4" spans="1:8" x14ac:dyDescent="0.3">
      <c r="D4" s="10"/>
      <c r="E4" s="8"/>
      <c r="F4" s="8"/>
      <c r="G4" s="6"/>
    </row>
    <row r="5" spans="1:8" x14ac:dyDescent="0.3">
      <c r="D5" s="10"/>
      <c r="E5" s="8"/>
      <c r="F5" s="8"/>
      <c r="G5" s="6"/>
    </row>
    <row r="6" spans="1:8" x14ac:dyDescent="0.3">
      <c r="D6" s="10"/>
      <c r="E6" s="8"/>
      <c r="F6" s="8"/>
      <c r="G6" s="6"/>
    </row>
    <row r="7" spans="1:8" x14ac:dyDescent="0.3">
      <c r="D7" s="10"/>
      <c r="E7" s="8"/>
      <c r="F7" s="8"/>
      <c r="G7" s="6"/>
    </row>
    <row r="8" spans="1:8" x14ac:dyDescent="0.3">
      <c r="D8" s="10"/>
      <c r="E8" s="8"/>
      <c r="F8" s="8"/>
      <c r="G8" s="6"/>
    </row>
    <row r="9" spans="1:8" x14ac:dyDescent="0.3">
      <c r="D9" s="10"/>
      <c r="E9" s="8"/>
      <c r="F9" s="8"/>
      <c r="G9" s="6"/>
    </row>
    <row r="10" spans="1:8" x14ac:dyDescent="0.3">
      <c r="D10" s="10"/>
      <c r="E10" s="8"/>
      <c r="F10" s="8"/>
      <c r="G10" s="6"/>
    </row>
    <row r="11" spans="1:8" x14ac:dyDescent="0.3">
      <c r="D11" s="10"/>
      <c r="E11" s="8"/>
      <c r="F11" s="8"/>
      <c r="G11" s="6"/>
    </row>
    <row r="12" spans="1:8" x14ac:dyDescent="0.3">
      <c r="D12" s="10"/>
      <c r="E12" s="8"/>
      <c r="F12" s="8"/>
      <c r="G12" s="6"/>
    </row>
    <row r="13" spans="1:8" x14ac:dyDescent="0.3">
      <c r="D13" s="10"/>
      <c r="E13" s="8"/>
      <c r="F13" s="8"/>
      <c r="G13" s="6"/>
    </row>
    <row r="14" spans="1:8" x14ac:dyDescent="0.3">
      <c r="D14" s="10"/>
      <c r="E14" s="8"/>
      <c r="F14" s="8"/>
      <c r="G14" s="6"/>
    </row>
    <row r="15" spans="1:8" x14ac:dyDescent="0.3">
      <c r="D15" s="10"/>
      <c r="E15" s="8"/>
      <c r="F15" s="8"/>
      <c r="G15" s="6"/>
    </row>
    <row r="16" spans="1:8" x14ac:dyDescent="0.3">
      <c r="D16" s="10"/>
      <c r="E16" s="8"/>
      <c r="F16" s="8"/>
      <c r="G16" s="6"/>
    </row>
    <row r="17" spans="4:7" x14ac:dyDescent="0.3">
      <c r="D17" s="10"/>
      <c r="E17" s="8"/>
      <c r="F17" s="8"/>
      <c r="G17" s="6"/>
    </row>
    <row r="18" spans="4:7" x14ac:dyDescent="0.3">
      <c r="D18" s="10"/>
      <c r="E18" s="8"/>
      <c r="F18" s="8"/>
      <c r="G18" s="6"/>
    </row>
    <row r="19" spans="4:7" x14ac:dyDescent="0.3">
      <c r="D19" s="10"/>
      <c r="E19" s="8"/>
      <c r="F19" s="8"/>
      <c r="G19" s="6"/>
    </row>
    <row r="20" spans="4:7" x14ac:dyDescent="0.3">
      <c r="D20" s="10"/>
      <c r="E20" s="8"/>
      <c r="F20" s="8"/>
      <c r="G20" s="6"/>
    </row>
    <row r="21" spans="4:7" x14ac:dyDescent="0.3">
      <c r="D21" s="10"/>
      <c r="E21" s="8"/>
      <c r="F21" s="8"/>
      <c r="G21" s="6"/>
    </row>
    <row r="22" spans="4:7" x14ac:dyDescent="0.3">
      <c r="D22" s="10"/>
      <c r="E22" s="8"/>
      <c r="F22" s="8"/>
      <c r="G22" s="6"/>
    </row>
    <row r="23" spans="4:7" x14ac:dyDescent="0.3">
      <c r="D23" s="10"/>
      <c r="E23" s="8"/>
      <c r="F23" s="8"/>
      <c r="G23" s="6"/>
    </row>
    <row r="24" spans="4:7" x14ac:dyDescent="0.3">
      <c r="D24" s="10"/>
      <c r="E24" s="8"/>
      <c r="F24" s="8"/>
      <c r="G24" s="6"/>
    </row>
    <row r="25" spans="4:7" x14ac:dyDescent="0.3">
      <c r="D25" s="10"/>
      <c r="E25" s="8"/>
      <c r="F25" s="8"/>
      <c r="G25" s="6"/>
    </row>
    <row r="26" spans="4:7" x14ac:dyDescent="0.3">
      <c r="D26" s="10"/>
      <c r="E26" s="8"/>
      <c r="F26" s="8"/>
      <c r="G26" s="6"/>
    </row>
    <row r="27" spans="4:7" x14ac:dyDescent="0.3">
      <c r="D27" s="10"/>
      <c r="E27" s="8"/>
      <c r="F27" s="8"/>
      <c r="G27" s="6"/>
    </row>
    <row r="28" spans="4:7" x14ac:dyDescent="0.3">
      <c r="D28" s="10"/>
      <c r="E28" s="8"/>
      <c r="F28" s="8"/>
      <c r="G28" s="6"/>
    </row>
    <row r="29" spans="4:7" x14ac:dyDescent="0.3">
      <c r="D29" s="10"/>
      <c r="E29" s="8"/>
      <c r="F29" s="8"/>
      <c r="G29" s="6"/>
    </row>
    <row r="30" spans="4:7" x14ac:dyDescent="0.3">
      <c r="D30" s="10"/>
      <c r="E30" s="8"/>
      <c r="F30" s="8"/>
      <c r="G30" s="6"/>
    </row>
    <row r="31" spans="4:7" x14ac:dyDescent="0.3">
      <c r="D31" s="10"/>
      <c r="E31" s="8"/>
      <c r="F31" s="8"/>
      <c r="G31" s="6"/>
    </row>
    <row r="32" spans="4:7" x14ac:dyDescent="0.3">
      <c r="D32" s="10"/>
      <c r="E32" s="8"/>
      <c r="F32" s="8"/>
      <c r="G32" s="6"/>
    </row>
    <row r="33" spans="4:7" x14ac:dyDescent="0.3">
      <c r="D33" s="10"/>
      <c r="E33" s="8"/>
      <c r="F33" s="8"/>
      <c r="G33" s="6"/>
    </row>
    <row r="34" spans="4:7" x14ac:dyDescent="0.3">
      <c r="D34" s="10"/>
      <c r="E34" s="8"/>
      <c r="F34" s="8"/>
      <c r="G34" s="6"/>
    </row>
    <row r="35" spans="4:7" x14ac:dyDescent="0.3">
      <c r="D35" s="10"/>
      <c r="E35" s="8"/>
      <c r="F35" s="8"/>
      <c r="G35" s="6"/>
    </row>
    <row r="36" spans="4:7" x14ac:dyDescent="0.3">
      <c r="D36" s="10"/>
      <c r="E36" s="8"/>
      <c r="F36" s="8"/>
      <c r="G36" s="6"/>
    </row>
    <row r="37" spans="4:7" x14ac:dyDescent="0.3">
      <c r="D37" s="10"/>
      <c r="E37" s="8"/>
      <c r="F37" s="8"/>
      <c r="G37" s="6"/>
    </row>
    <row r="38" spans="4:7" x14ac:dyDescent="0.3">
      <c r="D38" s="10"/>
      <c r="E38" s="8"/>
      <c r="F38" s="8"/>
      <c r="G38" s="6"/>
    </row>
    <row r="39" spans="4:7" x14ac:dyDescent="0.3">
      <c r="D39" s="10"/>
      <c r="E39" s="8"/>
      <c r="F39" s="8"/>
      <c r="G39" s="6"/>
    </row>
    <row r="40" spans="4:7" x14ac:dyDescent="0.3">
      <c r="D40" s="10"/>
      <c r="E40" s="8"/>
      <c r="F40" s="8"/>
      <c r="G40" s="6"/>
    </row>
    <row r="41" spans="4:7" x14ac:dyDescent="0.3">
      <c r="D41" s="10"/>
      <c r="E41" s="8"/>
      <c r="F41" s="8"/>
      <c r="G41" s="6"/>
    </row>
    <row r="42" spans="4:7" x14ac:dyDescent="0.3">
      <c r="D42" s="10"/>
      <c r="E42" s="8"/>
      <c r="F42" s="8"/>
      <c r="G42" s="6"/>
    </row>
    <row r="43" spans="4:7" x14ac:dyDescent="0.3">
      <c r="D43" s="10"/>
      <c r="E43" s="8"/>
      <c r="F43" s="8"/>
      <c r="G43" s="6"/>
    </row>
    <row r="44" spans="4:7" x14ac:dyDescent="0.3">
      <c r="D44" s="10"/>
      <c r="E44" s="8"/>
      <c r="F44" s="8"/>
      <c r="G44" s="6"/>
    </row>
    <row r="45" spans="4:7" x14ac:dyDescent="0.3">
      <c r="D45" s="10"/>
      <c r="E45" s="8"/>
      <c r="F45" s="8"/>
      <c r="G45" s="6"/>
    </row>
    <row r="46" spans="4:7" x14ac:dyDescent="0.3">
      <c r="D46" s="10"/>
      <c r="E46" s="8"/>
      <c r="F46" s="8"/>
      <c r="G46" s="6"/>
    </row>
    <row r="47" spans="4:7" x14ac:dyDescent="0.3">
      <c r="D47" s="10"/>
      <c r="E47" s="8"/>
      <c r="F47" s="8"/>
      <c r="G47" s="6"/>
    </row>
    <row r="48" spans="4:7" x14ac:dyDescent="0.3">
      <c r="D48" s="10"/>
      <c r="E48" s="8"/>
      <c r="F48" s="8"/>
      <c r="G48" s="6"/>
    </row>
    <row r="49" spans="4:7" x14ac:dyDescent="0.3">
      <c r="D49" s="10"/>
      <c r="E49" s="8"/>
      <c r="F49" s="8"/>
      <c r="G49" s="6"/>
    </row>
    <row r="50" spans="4:7" x14ac:dyDescent="0.3">
      <c r="D50" s="10"/>
      <c r="E50" s="8"/>
      <c r="F50" s="8"/>
      <c r="G50" s="6"/>
    </row>
    <row r="51" spans="4:7" x14ac:dyDescent="0.3">
      <c r="D51" s="10"/>
      <c r="E51" s="8"/>
      <c r="F51" s="8"/>
      <c r="G51" s="6"/>
    </row>
    <row r="52" spans="4:7" x14ac:dyDescent="0.3">
      <c r="D52" s="10"/>
      <c r="E52" s="8"/>
      <c r="F52" s="8"/>
      <c r="G52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51"/>
  <sheetViews>
    <sheetView showGridLines="0" workbookViewId="0">
      <selection sqref="A1:E51"/>
    </sheetView>
  </sheetViews>
  <sheetFormatPr defaultRowHeight="14.4" x14ac:dyDescent="0.3"/>
  <cols>
    <col min="1" max="1" width="19.88671875" style="1" customWidth="1"/>
    <col min="2" max="3" width="12.5546875" customWidth="1"/>
    <col min="4" max="4" width="14.5546875" bestFit="1" customWidth="1"/>
    <col min="5" max="5" width="12.109375" bestFit="1" customWidth="1"/>
  </cols>
  <sheetData>
    <row r="1" spans="1:5" x14ac:dyDescent="0.3">
      <c r="A1" s="4" t="s">
        <v>0</v>
      </c>
      <c r="B1" s="1" t="s">
        <v>6</v>
      </c>
      <c r="C1" s="1" t="s">
        <v>5</v>
      </c>
      <c r="D1" t="s">
        <v>14</v>
      </c>
      <c r="E1" s="1" t="s">
        <v>15</v>
      </c>
    </row>
    <row r="2" spans="1:5" x14ac:dyDescent="0.3">
      <c r="A2" s="4" t="s">
        <v>27</v>
      </c>
      <c r="B2" s="1">
        <v>0</v>
      </c>
      <c r="C2" s="1">
        <v>0</v>
      </c>
      <c r="D2">
        <v>0</v>
      </c>
      <c r="E2" s="8">
        <v>0</v>
      </c>
    </row>
    <row r="3" spans="1:5" x14ac:dyDescent="0.3">
      <c r="A3" s="4" t="s">
        <v>31</v>
      </c>
      <c r="B3" s="1">
        <v>0</v>
      </c>
      <c r="C3" s="1">
        <v>0</v>
      </c>
      <c r="D3">
        <v>0</v>
      </c>
      <c r="E3" s="8">
        <v>0</v>
      </c>
    </row>
    <row r="4" spans="1:5" x14ac:dyDescent="0.3">
      <c r="A4" s="4" t="s">
        <v>29</v>
      </c>
      <c r="B4" s="1">
        <v>0</v>
      </c>
      <c r="C4" s="1">
        <v>0</v>
      </c>
      <c r="D4">
        <v>0</v>
      </c>
      <c r="E4" s="8">
        <v>0</v>
      </c>
    </row>
    <row r="5" spans="1:5" x14ac:dyDescent="0.3">
      <c r="A5" s="1" t="s">
        <v>63</v>
      </c>
      <c r="B5" s="1">
        <v>0</v>
      </c>
      <c r="C5" s="1">
        <v>0</v>
      </c>
      <c r="D5">
        <v>0</v>
      </c>
      <c r="E5" s="8">
        <v>0</v>
      </c>
    </row>
    <row r="6" spans="1:5" x14ac:dyDescent="0.3">
      <c r="A6" s="1" t="s">
        <v>62</v>
      </c>
      <c r="B6" s="1">
        <v>0</v>
      </c>
      <c r="C6" s="1">
        <v>0</v>
      </c>
      <c r="D6">
        <v>0</v>
      </c>
      <c r="E6" s="8">
        <v>0</v>
      </c>
    </row>
    <row r="7" spans="1:5" x14ac:dyDescent="0.3">
      <c r="A7" s="1" t="s">
        <v>61</v>
      </c>
      <c r="B7" s="1">
        <v>0</v>
      </c>
      <c r="C7" s="1">
        <v>0</v>
      </c>
      <c r="D7">
        <v>0</v>
      </c>
      <c r="E7" s="8">
        <v>0</v>
      </c>
    </row>
    <row r="8" spans="1:5" x14ac:dyDescent="0.3">
      <c r="A8" s="4" t="s">
        <v>21</v>
      </c>
      <c r="B8" s="1">
        <v>0</v>
      </c>
      <c r="C8" s="1">
        <v>0</v>
      </c>
      <c r="D8">
        <v>0</v>
      </c>
      <c r="E8" s="8">
        <v>0</v>
      </c>
    </row>
    <row r="9" spans="1:5" x14ac:dyDescent="0.3">
      <c r="A9" s="1" t="s">
        <v>38</v>
      </c>
      <c r="B9" s="1">
        <v>0</v>
      </c>
      <c r="C9" s="1">
        <v>0</v>
      </c>
      <c r="D9">
        <v>0</v>
      </c>
      <c r="E9" s="8">
        <v>0</v>
      </c>
    </row>
    <row r="10" spans="1:5" x14ac:dyDescent="0.3">
      <c r="A10" s="4" t="s">
        <v>23</v>
      </c>
      <c r="B10" s="1">
        <v>0</v>
      </c>
      <c r="C10" s="1">
        <v>0</v>
      </c>
      <c r="D10">
        <v>0</v>
      </c>
      <c r="E10" s="8">
        <v>0</v>
      </c>
    </row>
    <row r="11" spans="1:5" x14ac:dyDescent="0.3">
      <c r="A11" s="4" t="s">
        <v>22</v>
      </c>
      <c r="B11" s="1">
        <v>0</v>
      </c>
      <c r="C11" s="1">
        <v>0</v>
      </c>
      <c r="D11">
        <v>0</v>
      </c>
      <c r="E11" s="8">
        <v>0</v>
      </c>
    </row>
    <row r="12" spans="1:5" x14ac:dyDescent="0.3">
      <c r="A12" s="1" t="s">
        <v>33</v>
      </c>
      <c r="B12" s="1">
        <v>0</v>
      </c>
      <c r="C12" s="1">
        <v>0</v>
      </c>
      <c r="D12">
        <v>0</v>
      </c>
      <c r="E12" s="8">
        <v>0</v>
      </c>
    </row>
    <row r="13" spans="1:5" x14ac:dyDescent="0.3">
      <c r="A13" s="1" t="s">
        <v>66</v>
      </c>
      <c r="B13" s="1">
        <v>0</v>
      </c>
      <c r="C13" s="1">
        <v>0</v>
      </c>
      <c r="D13">
        <v>0</v>
      </c>
      <c r="E13" s="8">
        <v>0</v>
      </c>
    </row>
    <row r="14" spans="1:5" x14ac:dyDescent="0.3">
      <c r="A14" s="1" t="s">
        <v>67</v>
      </c>
      <c r="B14" s="1">
        <v>0</v>
      </c>
      <c r="C14" s="1">
        <v>0</v>
      </c>
      <c r="D14">
        <v>0</v>
      </c>
      <c r="E14" s="8">
        <v>0</v>
      </c>
    </row>
    <row r="15" spans="1:5" x14ac:dyDescent="0.3">
      <c r="A15" s="1" t="s">
        <v>68</v>
      </c>
      <c r="B15" s="1">
        <v>0</v>
      </c>
      <c r="C15" s="1">
        <v>0</v>
      </c>
      <c r="D15">
        <v>0</v>
      </c>
      <c r="E15" s="8">
        <v>0</v>
      </c>
    </row>
    <row r="16" spans="1:5" x14ac:dyDescent="0.3">
      <c r="A16" s="1" t="s">
        <v>69</v>
      </c>
      <c r="B16" s="1">
        <v>0</v>
      </c>
      <c r="C16" s="1">
        <v>0</v>
      </c>
      <c r="D16">
        <v>0</v>
      </c>
      <c r="E16" s="8">
        <v>0</v>
      </c>
    </row>
    <row r="17" spans="1:5" x14ac:dyDescent="0.3">
      <c r="A17" s="1" t="s">
        <v>57</v>
      </c>
      <c r="B17" s="1">
        <v>1</v>
      </c>
      <c r="C17" s="1">
        <v>0</v>
      </c>
      <c r="D17">
        <v>1</v>
      </c>
      <c r="E17" s="8">
        <v>0</v>
      </c>
    </row>
    <row r="18" spans="1:5" x14ac:dyDescent="0.3">
      <c r="A18" s="1" t="s">
        <v>51</v>
      </c>
      <c r="B18" s="1">
        <v>4</v>
      </c>
      <c r="C18" s="1">
        <v>0</v>
      </c>
      <c r="D18">
        <v>4</v>
      </c>
      <c r="E18" s="8">
        <v>0</v>
      </c>
    </row>
    <row r="19" spans="1:5" x14ac:dyDescent="0.3">
      <c r="A19" s="1" t="s">
        <v>59</v>
      </c>
      <c r="B19" s="1">
        <v>4</v>
      </c>
      <c r="C19" s="1">
        <v>0</v>
      </c>
      <c r="D19">
        <v>4</v>
      </c>
      <c r="E19" s="8">
        <v>0</v>
      </c>
    </row>
    <row r="20" spans="1:5" x14ac:dyDescent="0.3">
      <c r="A20" s="1" t="s">
        <v>60</v>
      </c>
      <c r="B20" s="1">
        <v>5</v>
      </c>
      <c r="C20" s="1">
        <v>0</v>
      </c>
      <c r="D20">
        <v>5</v>
      </c>
      <c r="E20" s="8">
        <v>0</v>
      </c>
    </row>
    <row r="21" spans="1:5" x14ac:dyDescent="0.3">
      <c r="A21" s="1" t="s">
        <v>36</v>
      </c>
      <c r="B21" s="1">
        <v>5</v>
      </c>
      <c r="C21" s="1">
        <v>0</v>
      </c>
      <c r="D21">
        <v>5</v>
      </c>
      <c r="E21" s="8">
        <v>0</v>
      </c>
    </row>
    <row r="22" spans="1:5" x14ac:dyDescent="0.3">
      <c r="A22" s="1" t="s">
        <v>47</v>
      </c>
      <c r="B22" s="1">
        <v>5</v>
      </c>
      <c r="C22" s="1">
        <v>0</v>
      </c>
      <c r="D22">
        <v>5</v>
      </c>
      <c r="E22" s="8">
        <v>0</v>
      </c>
    </row>
    <row r="23" spans="1:5" x14ac:dyDescent="0.3">
      <c r="A23" s="1" t="s">
        <v>37</v>
      </c>
      <c r="B23" s="1">
        <v>6</v>
      </c>
      <c r="C23" s="1">
        <v>0</v>
      </c>
      <c r="D23">
        <v>6</v>
      </c>
      <c r="E23" s="8">
        <v>0</v>
      </c>
    </row>
    <row r="24" spans="1:5" x14ac:dyDescent="0.3">
      <c r="A24" s="1" t="s">
        <v>43</v>
      </c>
      <c r="B24" s="1">
        <v>10</v>
      </c>
      <c r="C24" s="1">
        <v>0</v>
      </c>
      <c r="D24">
        <v>10</v>
      </c>
      <c r="E24" s="8">
        <v>0</v>
      </c>
    </row>
    <row r="25" spans="1:5" x14ac:dyDescent="0.3">
      <c r="A25" s="1" t="s">
        <v>41</v>
      </c>
      <c r="B25" s="1">
        <v>15</v>
      </c>
      <c r="C25" s="1">
        <v>0</v>
      </c>
      <c r="D25">
        <v>15</v>
      </c>
      <c r="E25" s="8">
        <v>0</v>
      </c>
    </row>
    <row r="26" spans="1:5" x14ac:dyDescent="0.3">
      <c r="A26" s="4" t="s">
        <v>26</v>
      </c>
      <c r="B26" s="1">
        <v>15</v>
      </c>
      <c r="C26" s="1">
        <v>0</v>
      </c>
      <c r="D26">
        <v>15</v>
      </c>
      <c r="E26" s="8">
        <v>0</v>
      </c>
    </row>
    <row r="27" spans="1:5" x14ac:dyDescent="0.3">
      <c r="A27" s="1" t="s">
        <v>56</v>
      </c>
      <c r="B27" s="1">
        <v>15</v>
      </c>
      <c r="C27" s="1">
        <v>0</v>
      </c>
      <c r="D27">
        <v>15</v>
      </c>
      <c r="E27" s="8">
        <v>0</v>
      </c>
    </row>
    <row r="28" spans="1:5" x14ac:dyDescent="0.3">
      <c r="A28" s="1" t="s">
        <v>39</v>
      </c>
      <c r="B28" s="1">
        <v>20</v>
      </c>
      <c r="C28" s="1">
        <v>0</v>
      </c>
      <c r="D28">
        <v>20</v>
      </c>
      <c r="E28" s="8">
        <v>0</v>
      </c>
    </row>
    <row r="29" spans="1:5" x14ac:dyDescent="0.3">
      <c r="A29" s="4" t="s">
        <v>20</v>
      </c>
      <c r="B29" s="1">
        <v>20</v>
      </c>
      <c r="C29" s="1">
        <v>0</v>
      </c>
      <c r="D29">
        <v>20</v>
      </c>
      <c r="E29" s="8">
        <v>0</v>
      </c>
    </row>
    <row r="30" spans="1:5" x14ac:dyDescent="0.3">
      <c r="A30" s="1" t="s">
        <v>35</v>
      </c>
      <c r="B30" s="1">
        <v>20</v>
      </c>
      <c r="C30" s="1">
        <v>0</v>
      </c>
      <c r="D30">
        <v>20</v>
      </c>
      <c r="E30" s="8">
        <v>0</v>
      </c>
    </row>
    <row r="31" spans="1:5" x14ac:dyDescent="0.3">
      <c r="A31" s="1" t="s">
        <v>42</v>
      </c>
      <c r="B31" s="1">
        <v>30</v>
      </c>
      <c r="C31" s="1">
        <v>0</v>
      </c>
      <c r="D31">
        <v>30</v>
      </c>
      <c r="E31" s="8">
        <v>0</v>
      </c>
    </row>
    <row r="32" spans="1:5" x14ac:dyDescent="0.3">
      <c r="A32" s="1" t="s">
        <v>50</v>
      </c>
      <c r="B32" s="1">
        <v>35</v>
      </c>
      <c r="C32" s="1">
        <v>0</v>
      </c>
      <c r="D32">
        <v>35</v>
      </c>
      <c r="E32" s="8">
        <v>0</v>
      </c>
    </row>
    <row r="33" spans="1:5" x14ac:dyDescent="0.3">
      <c r="A33" s="1" t="s">
        <v>58</v>
      </c>
      <c r="B33" s="1">
        <v>40</v>
      </c>
      <c r="C33" s="1">
        <v>0</v>
      </c>
      <c r="D33">
        <v>40</v>
      </c>
      <c r="E33" s="8">
        <v>0</v>
      </c>
    </row>
    <row r="34" spans="1:5" x14ac:dyDescent="0.3">
      <c r="A34" s="1" t="s">
        <v>65</v>
      </c>
      <c r="B34" s="1">
        <v>40</v>
      </c>
      <c r="C34" s="1">
        <v>0</v>
      </c>
      <c r="D34">
        <v>40</v>
      </c>
      <c r="E34" s="8">
        <v>0</v>
      </c>
    </row>
    <row r="35" spans="1:5" x14ac:dyDescent="0.3">
      <c r="A35" s="1" t="s">
        <v>45</v>
      </c>
      <c r="B35" s="1">
        <v>50</v>
      </c>
      <c r="C35" s="1">
        <v>0</v>
      </c>
      <c r="D35">
        <v>50</v>
      </c>
      <c r="E35" s="8">
        <v>0</v>
      </c>
    </row>
    <row r="36" spans="1:5" x14ac:dyDescent="0.3">
      <c r="A36" s="1" t="s">
        <v>46</v>
      </c>
      <c r="B36" s="1">
        <v>50</v>
      </c>
      <c r="C36" s="1">
        <v>0</v>
      </c>
      <c r="D36">
        <v>50</v>
      </c>
      <c r="E36" s="8">
        <v>0</v>
      </c>
    </row>
    <row r="37" spans="1:5" x14ac:dyDescent="0.3">
      <c r="A37" s="4" t="s">
        <v>28</v>
      </c>
      <c r="B37" s="1">
        <v>60</v>
      </c>
      <c r="C37" s="1">
        <v>0</v>
      </c>
      <c r="D37">
        <v>60</v>
      </c>
      <c r="E37" s="8">
        <v>0</v>
      </c>
    </row>
    <row r="38" spans="1:5" x14ac:dyDescent="0.3">
      <c r="A38" s="4" t="s">
        <v>19</v>
      </c>
      <c r="B38" s="1">
        <v>60</v>
      </c>
      <c r="C38" s="1">
        <v>0</v>
      </c>
      <c r="D38">
        <v>60</v>
      </c>
      <c r="E38" s="8">
        <v>0</v>
      </c>
    </row>
    <row r="39" spans="1:5" x14ac:dyDescent="0.3">
      <c r="A39" s="1" t="s">
        <v>64</v>
      </c>
      <c r="B39" s="1">
        <v>82</v>
      </c>
      <c r="C39" s="1">
        <v>0</v>
      </c>
      <c r="D39">
        <v>82</v>
      </c>
      <c r="E39" s="8">
        <v>0</v>
      </c>
    </row>
    <row r="40" spans="1:5" x14ac:dyDescent="0.3">
      <c r="A40" s="4" t="s">
        <v>30</v>
      </c>
      <c r="B40" s="1">
        <v>100</v>
      </c>
      <c r="C40" s="1">
        <v>0</v>
      </c>
      <c r="D40">
        <v>100</v>
      </c>
      <c r="E40" s="8">
        <v>0</v>
      </c>
    </row>
    <row r="41" spans="1:5" x14ac:dyDescent="0.3">
      <c r="A41" s="1" t="s">
        <v>48</v>
      </c>
      <c r="B41" s="1">
        <v>100</v>
      </c>
      <c r="C41" s="1">
        <v>0</v>
      </c>
      <c r="D41">
        <v>100</v>
      </c>
      <c r="E41" s="8">
        <v>0</v>
      </c>
    </row>
    <row r="42" spans="1:5" x14ac:dyDescent="0.3">
      <c r="A42" s="1" t="s">
        <v>52</v>
      </c>
      <c r="B42" s="1">
        <v>100</v>
      </c>
      <c r="C42" s="1">
        <v>0</v>
      </c>
      <c r="D42">
        <v>100</v>
      </c>
      <c r="E42" s="8">
        <v>0</v>
      </c>
    </row>
    <row r="43" spans="1:5" x14ac:dyDescent="0.3">
      <c r="A43" s="1" t="s">
        <v>53</v>
      </c>
      <c r="B43" s="1">
        <v>100</v>
      </c>
      <c r="C43" s="1">
        <v>0</v>
      </c>
      <c r="D43">
        <v>100</v>
      </c>
      <c r="E43" s="8">
        <v>0</v>
      </c>
    </row>
    <row r="44" spans="1:5" x14ac:dyDescent="0.3">
      <c r="A44" s="1" t="s">
        <v>54</v>
      </c>
      <c r="B44" s="1">
        <v>100</v>
      </c>
      <c r="C44" s="1">
        <v>0</v>
      </c>
      <c r="D44">
        <v>100</v>
      </c>
      <c r="E44" s="8">
        <v>0</v>
      </c>
    </row>
    <row r="45" spans="1:5" x14ac:dyDescent="0.3">
      <c r="A45" s="1" t="s">
        <v>55</v>
      </c>
      <c r="B45" s="1">
        <v>100</v>
      </c>
      <c r="C45" s="1">
        <v>0</v>
      </c>
      <c r="D45">
        <v>100</v>
      </c>
      <c r="E45" s="8">
        <v>0</v>
      </c>
    </row>
    <row r="46" spans="1:5" x14ac:dyDescent="0.3">
      <c r="A46" s="1" t="s">
        <v>44</v>
      </c>
      <c r="B46" s="1">
        <v>100</v>
      </c>
      <c r="C46" s="1">
        <v>0</v>
      </c>
      <c r="D46">
        <v>100</v>
      </c>
      <c r="E46" s="8">
        <v>0</v>
      </c>
    </row>
    <row r="47" spans="1:5" x14ac:dyDescent="0.3">
      <c r="A47" s="1" t="s">
        <v>40</v>
      </c>
      <c r="B47" s="1">
        <v>120</v>
      </c>
      <c r="C47" s="1">
        <v>0</v>
      </c>
      <c r="D47">
        <v>120</v>
      </c>
      <c r="E47" s="8">
        <v>0</v>
      </c>
    </row>
    <row r="48" spans="1:5" x14ac:dyDescent="0.3">
      <c r="A48" s="4" t="s">
        <v>25</v>
      </c>
      <c r="B48" s="1">
        <v>155</v>
      </c>
      <c r="C48" s="1">
        <v>0</v>
      </c>
      <c r="D48">
        <v>155</v>
      </c>
      <c r="E48" s="8">
        <v>0</v>
      </c>
    </row>
    <row r="49" spans="1:5" x14ac:dyDescent="0.3">
      <c r="A49" s="4" t="s">
        <v>24</v>
      </c>
      <c r="B49" s="1">
        <v>155</v>
      </c>
      <c r="C49" s="1">
        <v>0</v>
      </c>
      <c r="D49">
        <v>155</v>
      </c>
      <c r="E49" s="8">
        <v>0</v>
      </c>
    </row>
    <row r="50" spans="1:5" x14ac:dyDescent="0.3">
      <c r="A50" s="1" t="s">
        <v>49</v>
      </c>
      <c r="B50" s="1">
        <v>260</v>
      </c>
      <c r="C50" s="1">
        <v>0</v>
      </c>
      <c r="D50">
        <v>260</v>
      </c>
      <c r="E50" s="8">
        <v>0</v>
      </c>
    </row>
    <row r="51" spans="1:5" x14ac:dyDescent="0.3">
      <c r="A51" s="4" t="s">
        <v>32</v>
      </c>
      <c r="B51" s="1">
        <v>400</v>
      </c>
      <c r="C51" s="1">
        <v>0</v>
      </c>
      <c r="D51">
        <v>400</v>
      </c>
      <c r="E51" s="8">
        <v>0</v>
      </c>
    </row>
  </sheetData>
  <sortState xmlns:xlrd2="http://schemas.microsoft.com/office/spreadsheetml/2017/richdata2" ref="A2:E51">
    <sortCondition ref="D1"/>
  </sortState>
  <conditionalFormatting sqref="A1:A1048576">
    <cfRule type="duplicateValues" dxfId="0" priority="1"/>
  </conditionalFormatting>
  <dataValidations count="1">
    <dataValidation type="custom" allowBlank="1" showInputMessage="1" showErrorMessage="1" errorTitle="Duplicate" error="Duplicate Entry" sqref="A1:A1048576" xr:uid="{5E2097B3-6975-4401-BFDE-F115128F5CFA}">
      <formula1>COUNTIF($B:$B,A1)&lt;2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51"/>
  <sheetViews>
    <sheetView showGridLines="0" workbookViewId="0">
      <selection sqref="A1:E51"/>
    </sheetView>
  </sheetViews>
  <sheetFormatPr defaultRowHeight="14.4" x14ac:dyDescent="0.3"/>
  <cols>
    <col min="1" max="5" width="15" customWidth="1"/>
  </cols>
  <sheetData>
    <row r="1" spans="1:5" x14ac:dyDescent="0.3">
      <c r="A1" t="s">
        <v>0</v>
      </c>
      <c r="B1" t="s">
        <v>6</v>
      </c>
      <c r="C1" t="s">
        <v>5</v>
      </c>
      <c r="D1" t="s">
        <v>14</v>
      </c>
      <c r="E1" t="s">
        <v>15</v>
      </c>
    </row>
    <row r="2" spans="1:5" x14ac:dyDescent="0.3">
      <c r="A2" t="s">
        <v>27</v>
      </c>
      <c r="B2">
        <v>0</v>
      </c>
      <c r="C2">
        <v>0</v>
      </c>
      <c r="D2">
        <v>0</v>
      </c>
      <c r="E2" s="8">
        <v>0</v>
      </c>
    </row>
    <row r="3" spans="1:5" x14ac:dyDescent="0.3">
      <c r="A3" t="s">
        <v>31</v>
      </c>
      <c r="B3">
        <v>0</v>
      </c>
      <c r="C3">
        <v>0</v>
      </c>
      <c r="D3">
        <v>0</v>
      </c>
      <c r="E3" s="8">
        <v>0</v>
      </c>
    </row>
    <row r="4" spans="1:5" x14ac:dyDescent="0.3">
      <c r="A4" t="s">
        <v>29</v>
      </c>
      <c r="B4">
        <v>0</v>
      </c>
      <c r="C4">
        <v>0</v>
      </c>
      <c r="D4">
        <v>0</v>
      </c>
      <c r="E4" s="8">
        <v>0</v>
      </c>
    </row>
    <row r="5" spans="1:5" x14ac:dyDescent="0.3">
      <c r="A5" t="s">
        <v>63</v>
      </c>
      <c r="B5">
        <v>0</v>
      </c>
      <c r="C5">
        <v>0</v>
      </c>
      <c r="D5">
        <v>0</v>
      </c>
      <c r="E5" s="8">
        <v>0</v>
      </c>
    </row>
    <row r="6" spans="1:5" x14ac:dyDescent="0.3">
      <c r="A6" t="s">
        <v>62</v>
      </c>
      <c r="B6">
        <v>0</v>
      </c>
      <c r="C6">
        <v>0</v>
      </c>
      <c r="D6">
        <v>0</v>
      </c>
      <c r="E6" s="8">
        <v>0</v>
      </c>
    </row>
    <row r="7" spans="1:5" x14ac:dyDescent="0.3">
      <c r="A7" t="s">
        <v>61</v>
      </c>
      <c r="B7">
        <v>0</v>
      </c>
      <c r="C7">
        <v>0</v>
      </c>
      <c r="D7">
        <v>0</v>
      </c>
      <c r="E7" s="8">
        <v>0</v>
      </c>
    </row>
    <row r="8" spans="1:5" x14ac:dyDescent="0.3">
      <c r="A8" t="s">
        <v>21</v>
      </c>
      <c r="B8">
        <v>0</v>
      </c>
      <c r="C8">
        <v>0</v>
      </c>
      <c r="D8">
        <v>0</v>
      </c>
      <c r="E8" s="8">
        <v>0</v>
      </c>
    </row>
    <row r="9" spans="1:5" x14ac:dyDescent="0.3">
      <c r="A9" t="s">
        <v>38</v>
      </c>
      <c r="B9">
        <v>0</v>
      </c>
      <c r="C9">
        <v>0</v>
      </c>
      <c r="D9">
        <v>0</v>
      </c>
      <c r="E9" s="8">
        <v>0</v>
      </c>
    </row>
    <row r="10" spans="1:5" x14ac:dyDescent="0.3">
      <c r="A10" t="s">
        <v>23</v>
      </c>
      <c r="B10">
        <v>0</v>
      </c>
      <c r="C10">
        <v>0</v>
      </c>
      <c r="D10">
        <v>0</v>
      </c>
      <c r="E10" s="8">
        <v>0</v>
      </c>
    </row>
    <row r="11" spans="1:5" x14ac:dyDescent="0.3">
      <c r="A11" t="s">
        <v>22</v>
      </c>
      <c r="B11">
        <v>0</v>
      </c>
      <c r="C11">
        <v>0</v>
      </c>
      <c r="D11">
        <v>0</v>
      </c>
      <c r="E11" s="8">
        <v>0</v>
      </c>
    </row>
    <row r="12" spans="1:5" x14ac:dyDescent="0.3">
      <c r="A12" t="s">
        <v>33</v>
      </c>
      <c r="B12">
        <v>0</v>
      </c>
      <c r="C12">
        <v>0</v>
      </c>
      <c r="D12">
        <v>0</v>
      </c>
      <c r="E12" s="8">
        <v>0</v>
      </c>
    </row>
    <row r="13" spans="1:5" x14ac:dyDescent="0.3">
      <c r="A13" t="s">
        <v>66</v>
      </c>
      <c r="B13">
        <v>0</v>
      </c>
      <c r="C13">
        <v>0</v>
      </c>
      <c r="D13">
        <v>0</v>
      </c>
      <c r="E13" s="8">
        <v>0</v>
      </c>
    </row>
    <row r="14" spans="1:5" x14ac:dyDescent="0.3">
      <c r="A14" t="s">
        <v>67</v>
      </c>
      <c r="B14">
        <v>0</v>
      </c>
      <c r="C14">
        <v>0</v>
      </c>
      <c r="D14">
        <v>0</v>
      </c>
      <c r="E14" s="8">
        <v>0</v>
      </c>
    </row>
    <row r="15" spans="1:5" x14ac:dyDescent="0.3">
      <c r="A15" t="s">
        <v>68</v>
      </c>
      <c r="B15">
        <v>0</v>
      </c>
      <c r="C15">
        <v>0</v>
      </c>
      <c r="D15">
        <v>0</v>
      </c>
      <c r="E15" s="8">
        <v>0</v>
      </c>
    </row>
    <row r="16" spans="1:5" x14ac:dyDescent="0.3">
      <c r="A16" t="s">
        <v>69</v>
      </c>
      <c r="B16">
        <v>0</v>
      </c>
      <c r="C16">
        <v>0</v>
      </c>
      <c r="D16">
        <v>0</v>
      </c>
      <c r="E16" s="8">
        <v>0</v>
      </c>
    </row>
    <row r="17" spans="1:5" x14ac:dyDescent="0.3">
      <c r="A17" t="s">
        <v>57</v>
      </c>
      <c r="B17">
        <v>1</v>
      </c>
      <c r="C17">
        <v>0</v>
      </c>
      <c r="D17">
        <v>1</v>
      </c>
      <c r="E17" s="8">
        <v>0</v>
      </c>
    </row>
    <row r="18" spans="1:5" x14ac:dyDescent="0.3">
      <c r="A18" t="s">
        <v>51</v>
      </c>
      <c r="B18">
        <v>4</v>
      </c>
      <c r="C18">
        <v>0</v>
      </c>
      <c r="D18">
        <v>4</v>
      </c>
      <c r="E18" s="8">
        <v>0</v>
      </c>
    </row>
    <row r="19" spans="1:5" x14ac:dyDescent="0.3">
      <c r="A19" t="s">
        <v>59</v>
      </c>
      <c r="B19">
        <v>4</v>
      </c>
      <c r="C19">
        <v>0</v>
      </c>
      <c r="D19">
        <v>4</v>
      </c>
      <c r="E19" s="8">
        <v>0</v>
      </c>
    </row>
    <row r="20" spans="1:5" x14ac:dyDescent="0.3">
      <c r="A20" t="s">
        <v>60</v>
      </c>
      <c r="B20">
        <v>5</v>
      </c>
      <c r="C20">
        <v>0</v>
      </c>
      <c r="D20">
        <v>5</v>
      </c>
      <c r="E20" s="8">
        <v>0</v>
      </c>
    </row>
    <row r="21" spans="1:5" x14ac:dyDescent="0.3">
      <c r="A21" t="s">
        <v>36</v>
      </c>
      <c r="B21">
        <v>5</v>
      </c>
      <c r="C21">
        <v>0</v>
      </c>
      <c r="D21">
        <v>5</v>
      </c>
      <c r="E21" s="8">
        <v>0</v>
      </c>
    </row>
    <row r="22" spans="1:5" x14ac:dyDescent="0.3">
      <c r="A22" t="s">
        <v>47</v>
      </c>
      <c r="B22">
        <v>5</v>
      </c>
      <c r="C22">
        <v>0</v>
      </c>
      <c r="D22">
        <v>5</v>
      </c>
      <c r="E22" s="8">
        <v>0</v>
      </c>
    </row>
    <row r="23" spans="1:5" x14ac:dyDescent="0.3">
      <c r="A23" t="s">
        <v>37</v>
      </c>
      <c r="B23">
        <v>6</v>
      </c>
      <c r="C23">
        <v>0</v>
      </c>
      <c r="D23">
        <v>6</v>
      </c>
      <c r="E23" s="8">
        <v>0</v>
      </c>
    </row>
    <row r="24" spans="1:5" x14ac:dyDescent="0.3">
      <c r="A24" t="s">
        <v>43</v>
      </c>
      <c r="B24">
        <v>10</v>
      </c>
      <c r="C24">
        <v>0</v>
      </c>
      <c r="D24">
        <v>10</v>
      </c>
      <c r="E24" s="8">
        <v>0</v>
      </c>
    </row>
    <row r="25" spans="1:5" x14ac:dyDescent="0.3">
      <c r="A25" t="s">
        <v>41</v>
      </c>
      <c r="B25">
        <v>15</v>
      </c>
      <c r="C25">
        <v>0</v>
      </c>
      <c r="D25">
        <v>15</v>
      </c>
      <c r="E25" s="8">
        <v>0</v>
      </c>
    </row>
    <row r="26" spans="1:5" x14ac:dyDescent="0.3">
      <c r="A26" t="s">
        <v>26</v>
      </c>
      <c r="B26">
        <v>15</v>
      </c>
      <c r="C26">
        <v>0</v>
      </c>
      <c r="D26">
        <v>15</v>
      </c>
      <c r="E26" s="8">
        <v>0</v>
      </c>
    </row>
    <row r="27" spans="1:5" x14ac:dyDescent="0.3">
      <c r="A27" t="s">
        <v>56</v>
      </c>
      <c r="B27">
        <v>15</v>
      </c>
      <c r="C27">
        <v>0</v>
      </c>
      <c r="D27">
        <v>15</v>
      </c>
      <c r="E27" s="8">
        <v>0</v>
      </c>
    </row>
    <row r="28" spans="1:5" x14ac:dyDescent="0.3">
      <c r="A28" t="s">
        <v>39</v>
      </c>
      <c r="B28">
        <v>20</v>
      </c>
      <c r="C28">
        <v>0</v>
      </c>
      <c r="D28">
        <v>20</v>
      </c>
      <c r="E28" s="8">
        <v>0</v>
      </c>
    </row>
    <row r="29" spans="1:5" x14ac:dyDescent="0.3">
      <c r="A29" t="s">
        <v>20</v>
      </c>
      <c r="B29">
        <v>20</v>
      </c>
      <c r="C29">
        <v>0</v>
      </c>
      <c r="D29">
        <v>20</v>
      </c>
      <c r="E29" s="8">
        <v>0</v>
      </c>
    </row>
    <row r="30" spans="1:5" x14ac:dyDescent="0.3">
      <c r="A30" t="s">
        <v>35</v>
      </c>
      <c r="B30">
        <v>20</v>
      </c>
      <c r="C30">
        <v>0</v>
      </c>
      <c r="D30">
        <v>20</v>
      </c>
      <c r="E30" s="8">
        <v>0</v>
      </c>
    </row>
    <row r="31" spans="1:5" x14ac:dyDescent="0.3">
      <c r="A31" t="s">
        <v>42</v>
      </c>
      <c r="B31">
        <v>30</v>
      </c>
      <c r="C31">
        <v>0</v>
      </c>
      <c r="D31">
        <v>30</v>
      </c>
      <c r="E31" s="8">
        <v>0</v>
      </c>
    </row>
    <row r="32" spans="1:5" x14ac:dyDescent="0.3">
      <c r="A32" t="s">
        <v>50</v>
      </c>
      <c r="B32">
        <v>35</v>
      </c>
      <c r="C32">
        <v>0</v>
      </c>
      <c r="D32">
        <v>35</v>
      </c>
      <c r="E32" s="8">
        <v>0</v>
      </c>
    </row>
    <row r="33" spans="1:5" x14ac:dyDescent="0.3">
      <c r="A33" t="s">
        <v>58</v>
      </c>
      <c r="B33">
        <v>40</v>
      </c>
      <c r="C33">
        <v>0</v>
      </c>
      <c r="D33">
        <v>40</v>
      </c>
      <c r="E33" s="8">
        <v>0</v>
      </c>
    </row>
    <row r="34" spans="1:5" x14ac:dyDescent="0.3">
      <c r="A34" t="s">
        <v>65</v>
      </c>
      <c r="B34">
        <v>40</v>
      </c>
      <c r="C34">
        <v>0</v>
      </c>
      <c r="D34">
        <v>40</v>
      </c>
      <c r="E34" s="8">
        <v>0</v>
      </c>
    </row>
    <row r="35" spans="1:5" x14ac:dyDescent="0.3">
      <c r="A35" t="s">
        <v>45</v>
      </c>
      <c r="B35">
        <v>50</v>
      </c>
      <c r="C35">
        <v>0</v>
      </c>
      <c r="D35">
        <v>50</v>
      </c>
      <c r="E35" s="8">
        <v>0</v>
      </c>
    </row>
    <row r="36" spans="1:5" x14ac:dyDescent="0.3">
      <c r="A36" t="s">
        <v>46</v>
      </c>
      <c r="B36">
        <v>50</v>
      </c>
      <c r="C36">
        <v>0</v>
      </c>
      <c r="D36">
        <v>50</v>
      </c>
      <c r="E36" s="8">
        <v>0</v>
      </c>
    </row>
    <row r="37" spans="1:5" x14ac:dyDescent="0.3">
      <c r="A37" t="s">
        <v>28</v>
      </c>
      <c r="B37">
        <v>60</v>
      </c>
      <c r="C37">
        <v>0</v>
      </c>
      <c r="D37">
        <v>60</v>
      </c>
      <c r="E37" s="8">
        <v>0</v>
      </c>
    </row>
    <row r="38" spans="1:5" x14ac:dyDescent="0.3">
      <c r="A38" t="s">
        <v>19</v>
      </c>
      <c r="B38">
        <v>60</v>
      </c>
      <c r="C38">
        <v>0</v>
      </c>
      <c r="D38">
        <v>60</v>
      </c>
      <c r="E38" s="8">
        <v>0</v>
      </c>
    </row>
    <row r="39" spans="1:5" x14ac:dyDescent="0.3">
      <c r="A39" t="s">
        <v>64</v>
      </c>
      <c r="B39">
        <v>82</v>
      </c>
      <c r="C39">
        <v>0</v>
      </c>
      <c r="D39">
        <v>82</v>
      </c>
      <c r="E39" s="8">
        <v>0</v>
      </c>
    </row>
    <row r="40" spans="1:5" x14ac:dyDescent="0.3">
      <c r="A40" t="s">
        <v>30</v>
      </c>
      <c r="B40">
        <v>100</v>
      </c>
      <c r="C40">
        <v>0</v>
      </c>
      <c r="D40">
        <v>100</v>
      </c>
      <c r="E40" s="8">
        <v>0</v>
      </c>
    </row>
    <row r="41" spans="1:5" x14ac:dyDescent="0.3">
      <c r="A41" t="s">
        <v>48</v>
      </c>
      <c r="B41">
        <v>100</v>
      </c>
      <c r="C41">
        <v>0</v>
      </c>
      <c r="D41">
        <v>100</v>
      </c>
      <c r="E41" s="8">
        <v>0</v>
      </c>
    </row>
    <row r="42" spans="1:5" x14ac:dyDescent="0.3">
      <c r="A42" t="s">
        <v>52</v>
      </c>
      <c r="B42">
        <v>100</v>
      </c>
      <c r="C42">
        <v>0</v>
      </c>
      <c r="D42">
        <v>100</v>
      </c>
      <c r="E42" s="8">
        <v>0</v>
      </c>
    </row>
    <row r="43" spans="1:5" x14ac:dyDescent="0.3">
      <c r="A43" t="s">
        <v>53</v>
      </c>
      <c r="B43">
        <v>100</v>
      </c>
      <c r="C43">
        <v>0</v>
      </c>
      <c r="D43">
        <v>100</v>
      </c>
      <c r="E43" s="8">
        <v>0</v>
      </c>
    </row>
    <row r="44" spans="1:5" x14ac:dyDescent="0.3">
      <c r="A44" t="s">
        <v>54</v>
      </c>
      <c r="B44">
        <v>100</v>
      </c>
      <c r="C44">
        <v>0</v>
      </c>
      <c r="D44">
        <v>100</v>
      </c>
      <c r="E44" s="8">
        <v>0</v>
      </c>
    </row>
    <row r="45" spans="1:5" x14ac:dyDescent="0.3">
      <c r="A45" t="s">
        <v>55</v>
      </c>
      <c r="B45">
        <v>100</v>
      </c>
      <c r="C45">
        <v>0</v>
      </c>
      <c r="D45">
        <v>100</v>
      </c>
      <c r="E45" s="8">
        <v>0</v>
      </c>
    </row>
    <row r="46" spans="1:5" x14ac:dyDescent="0.3">
      <c r="A46" t="s">
        <v>44</v>
      </c>
      <c r="B46">
        <v>100</v>
      </c>
      <c r="C46">
        <v>0</v>
      </c>
      <c r="D46">
        <v>100</v>
      </c>
      <c r="E46" s="8">
        <v>0</v>
      </c>
    </row>
    <row r="47" spans="1:5" x14ac:dyDescent="0.3">
      <c r="A47" t="s">
        <v>40</v>
      </c>
      <c r="B47">
        <v>120</v>
      </c>
      <c r="C47">
        <v>0</v>
      </c>
      <c r="D47">
        <v>120</v>
      </c>
      <c r="E47" s="8">
        <v>0</v>
      </c>
    </row>
    <row r="48" spans="1:5" x14ac:dyDescent="0.3">
      <c r="A48" t="s">
        <v>25</v>
      </c>
      <c r="B48">
        <v>155</v>
      </c>
      <c r="C48">
        <v>0</v>
      </c>
      <c r="D48">
        <v>155</v>
      </c>
      <c r="E48" s="8">
        <v>0</v>
      </c>
    </row>
    <row r="49" spans="1:5" x14ac:dyDescent="0.3">
      <c r="A49" t="s">
        <v>24</v>
      </c>
      <c r="B49">
        <v>155</v>
      </c>
      <c r="C49">
        <v>0</v>
      </c>
      <c r="D49">
        <v>155</v>
      </c>
      <c r="E49" s="8">
        <v>0</v>
      </c>
    </row>
    <row r="50" spans="1:5" x14ac:dyDescent="0.3">
      <c r="A50" t="s">
        <v>49</v>
      </c>
      <c r="B50">
        <v>260</v>
      </c>
      <c r="C50">
        <v>0</v>
      </c>
      <c r="D50">
        <v>260</v>
      </c>
      <c r="E50" s="8">
        <v>0</v>
      </c>
    </row>
    <row r="51" spans="1:5" x14ac:dyDescent="0.3">
      <c r="A51" t="s">
        <v>32</v>
      </c>
      <c r="B51">
        <v>400</v>
      </c>
      <c r="C51">
        <v>0</v>
      </c>
      <c r="D51">
        <v>400</v>
      </c>
      <c r="E51" s="8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C9"/>
  <sheetViews>
    <sheetView showGridLines="0" workbookViewId="0"/>
  </sheetViews>
  <sheetFormatPr defaultRowHeight="14.4" x14ac:dyDescent="0.3"/>
  <cols>
    <col min="1" max="1" width="6.33203125" customWidth="1"/>
    <col min="2" max="2" width="17.44140625" customWidth="1"/>
    <col min="3" max="3" width="20" customWidth="1"/>
  </cols>
  <sheetData>
    <row r="1" spans="2:3" x14ac:dyDescent="0.3">
      <c r="B1" t="s">
        <v>11</v>
      </c>
      <c r="C1" s="13">
        <v>44019</v>
      </c>
    </row>
    <row r="2" spans="2:3" x14ac:dyDescent="0.3">
      <c r="B2" t="s">
        <v>12</v>
      </c>
      <c r="C2" s="13">
        <v>44019</v>
      </c>
    </row>
    <row r="3" spans="2:3" x14ac:dyDescent="0.3">
      <c r="C3" s="11"/>
    </row>
    <row r="4" spans="2:3" ht="15" customHeight="1" x14ac:dyDescent="0.3">
      <c r="B4" s="3" t="s">
        <v>1</v>
      </c>
      <c r="C4" s="3" t="s">
        <v>8</v>
      </c>
    </row>
    <row r="5" spans="2:3" ht="15" customHeight="1" x14ac:dyDescent="0.3">
      <c r="B5" s="2" t="s">
        <v>6</v>
      </c>
      <c r="C5" s="12">
        <f>SUMIFS(Sale_Purchase!F:F,Sale_Purchase!C:C,Report!B5,Sale_Purchase!G:G,"&gt;="&amp;$C$1,Sale_Purchase!G:G,"&lt;="&amp;$C$2)</f>
        <v>0</v>
      </c>
    </row>
    <row r="6" spans="2:3" ht="15" customHeight="1" x14ac:dyDescent="0.3">
      <c r="B6" s="2" t="s">
        <v>5</v>
      </c>
      <c r="C6" s="12">
        <f>SUMIFS(Sale_Purchase!F:F,Sale_Purchase!C:C,Report!B6,Sale_Purchase!G:G,"&gt;="&amp;$C$1,Sale_Purchase!G:G,"&lt;="&amp;$C$2)</f>
        <v>0</v>
      </c>
    </row>
    <row r="7" spans="2:3" x14ac:dyDescent="0.3">
      <c r="B7" s="2" t="s">
        <v>13</v>
      </c>
      <c r="C7" s="12">
        <f>SUMIFS(Sale_Purchase!H:H,Sale_Purchase!G:G,"&gt;="&amp;$C$1,Sale_Purchase!G:G,"&lt;="&amp;$C$2)</f>
        <v>0</v>
      </c>
    </row>
    <row r="8" spans="2:3" x14ac:dyDescent="0.3">
      <c r="B8" s="2" t="s">
        <v>16</v>
      </c>
      <c r="C8" s="2">
        <f>SUM(Inventory!D:D)</f>
        <v>2382</v>
      </c>
    </row>
    <row r="9" spans="2:3" x14ac:dyDescent="0.3">
      <c r="B9" s="2" t="s">
        <v>17</v>
      </c>
      <c r="C9" s="12">
        <f>SUM(Inventory!E:E)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Settings</vt:lpstr>
      <vt:lpstr>Product_Master</vt:lpstr>
      <vt:lpstr>Sale_Purchase</vt:lpstr>
      <vt:lpstr>Sale_Purchase_Display</vt:lpstr>
      <vt:lpstr>Inventory</vt:lpstr>
      <vt:lpstr>Inventory_Display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Yash Narang</cp:lastModifiedBy>
  <dcterms:created xsi:type="dcterms:W3CDTF">2020-01-29T10:59:23Z</dcterms:created>
  <dcterms:modified xsi:type="dcterms:W3CDTF">2020-07-08T06:02:07Z</dcterms:modified>
</cp:coreProperties>
</file>